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ard" sheetId="1" r:id="rId5"/>
    <sheet state="visible" name="Tile Breakdown" sheetId="2" r:id="rId6"/>
    <sheet state="visible" name="Individual Stats" sheetId="3" r:id="rId7"/>
    <sheet state="visible" name="Accepted Drops" sheetId="4" r:id="rId8"/>
    <sheet state="visible" name="Tradeable Drops" sheetId="5" r:id="rId9"/>
    <sheet state="visible" name="Ultimate Breakdown" sheetId="6" r:id="rId10"/>
  </sheets>
  <definedNames>
    <definedName name="Tiles">'Accepted Drops'!$B$84:$B$328</definedName>
    <definedName name="AllPrices">'Accepted Drops'!$AC$83:$AF$331</definedName>
    <definedName localSheetId="5" name="Boss">'Ultimate Breakdown'!$A$39:$A$93</definedName>
    <definedName localSheetId="5" name="BossLookup">'Ultimate Breakdown'!$A$39:$B$93</definedName>
    <definedName name="AllDrops">'Accepted Drops'!$AG$83:$AQ$331</definedName>
    <definedName localSheetId="5" name="BossCode">'Ultimate Breakdown'!$B$39:$B$93</definedName>
    <definedName hidden="1" localSheetId="5" name="_xlnm._FilterDatabase">'Ultimate Breakdown'!$A$3:$BN$37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C18">
      <text>
        <t xml:space="preserve">Assumes 33k points (solo)</t>
      </text>
    </comment>
    <comment authorId="0" ref="R75">
      <text>
        <t xml:space="preserve">Regular tob trios at 3 kills per hour
I don't know ToB enough to know ho much better HM is or how high the maximum possible rates go</t>
      </text>
    </comment>
    <comment authorId="0" ref="AQ66">
      <text>
        <t xml:space="preserve">Rex only</t>
      </text>
    </comment>
    <comment authorId="0" ref="AG54">
      <text>
        <t xml:space="preserve">Spindel</t>
      </text>
    </comment>
    <comment authorId="0" ref="AG52">
      <text>
        <t xml:space="preserve">Calvarion</t>
      </text>
    </comment>
    <comment authorId="0" ref="BF76">
      <text>
        <t xml:space="preserve">35min completions</t>
      </text>
    </comment>
    <comment authorId="0" ref="AI19">
      <text>
        <t xml:space="preserve">This assumes you are trioing and nobody dies.
This probably isn't realistic and reality is going to be higher than this, even not counting wipes.</t>
      </text>
    </comment>
    <comment authorId="0" ref="T32">
      <text>
        <t xml:space="preserve">Ignores time to get tasks</t>
      </text>
    </comment>
    <comment authorId="0" ref="J51">
      <text>
        <t xml:space="preserve">Ignores time to get task</t>
      </text>
    </comment>
    <comment authorId="0" ref="AQ50">
      <text>
        <t xml:space="preserve">1-8</t>
      </text>
    </comment>
    <comment authorId="0" ref="AL77">
      <text>
        <t xml:space="preserve">Wiki team of 5 numbers</t>
      </text>
    </comment>
    <comment authorId="0" ref="BC19">
      <text>
        <t xml:space="preserve">Assumed solo again.
Considerably faster due to the kit and dust.
In teams, everyone rolls for these independently too.</t>
      </text>
    </comment>
    <comment authorId="0" ref="AQ38">
      <text>
        <t xml:space="preserve">Araxyte tasks for reference are probably the best possible task with these numbers, and are about 2 points/h if you could do them continuously.
It won't be worth anyone's time to try to calculate the optimal way to solve this tile.</t>
      </text>
    </comment>
    <comment authorId="0" ref="AV75">
      <text>
        <t xml:space="preserve">Assumes 10 kills/h</t>
      </text>
    </comment>
    <comment authorId="0" ref="AN34">
      <text>
        <t xml:space="preserve">I can't actually find any numbers for this.
Jellies ontask are apparently ~800 kills/h, so would guess these can be similar if you went there with goadings and max barrage gear.
But irons who probably would be doing this will be killing a lot slower.</t>
      </text>
    </comment>
    <comment authorId="0" ref="R76">
      <text>
        <t xml:space="preserve">ToA 500s in 35 minutes, based on wiki numbers
Again I don't really know enough about this to know how hard this actually is or how much further you can push it</t>
      </text>
    </comment>
    <comment authorId="0" ref="AX11">
      <text>
        <t xml:space="preserve">Ignores time to get tasks</t>
      </text>
    </comment>
    <comment authorId="0" ref="O39">
      <text>
        <t xml:space="preserve">Numbers are copied from the wiki, doing 15 player masses
I don't understand how the zalcano shard drop rate works, but this is what I got from copying the wiki blindly (where they seem to be using 1/1200 per kill)</t>
      </text>
    </comment>
    <comment authorId="0" ref="R74">
      <text>
        <t xml:space="preserve">Solo CMS at 35 mins each
(This is roughly equivalent to a Loggy pbing every kc, people who are really good at this can probably push it to 25 mins)</t>
      </text>
    </comment>
    <comment authorId="0" ref="AQ65">
      <text>
        <t xml:space="preserve">Doing full rounds, total kings killed</t>
      </text>
    </comment>
    <comment authorId="0" ref="AG53">
      <text>
        <t xml:space="preserve">Artio</t>
      </text>
    </comment>
    <comment authorId="0" ref="AB80">
      <text>
        <t xml:space="preserve">Based on wiki numbers for phosani's</t>
      </text>
    </comment>
    <comment authorId="0" ref="AI20">
      <text>
        <t xml:space="preserve">Again assumes trio.
This is a LOT lower because everyone rolls for the HM exclusive ornament kits/dust separately.</t>
      </text>
    </comment>
    <comment authorId="0" ref="AD12">
      <text>
        <t xml:space="preserve">Does not include time to get task</t>
      </text>
    </comment>
    <comment authorId="0" ref="BC36">
      <text>
        <t xml:space="preserve">Assumes solo, and that you don't have prayer scrolls already unlocked.
If you do, roughly double this. </t>
      </text>
    </comment>
    <comment authorId="0" ref="BH40">
      <text>
        <t xml:space="preserve">Ignores time to get tasks</t>
      </text>
    </comment>
    <comment authorId="0" ref="W64">
      <text>
        <t xml:space="preserve">All of these assume that you've had a quartz already.
If you haven't, the drop rate is quite a lot higher (and increases) until you get one.</t>
      </text>
    </comment>
    <comment authorId="0" ref="AQ51">
      <text>
        <t xml:space="preserve">1-16, not sure if we have anyone who can do these
The huge difference here is driven primarily by taking more than twice as long and the huge rate increase in the pet. Delve 9+ is:
Cloth/Eye/Treads: 1/540
Pet: 1/250
</t>
      </text>
    </comment>
    <comment authorId="0" ref="Y31">
      <text>
        <t xml:space="preserve">300 solo numbers stolen from the wiki.
Higher invo will get better.</t>
      </text>
    </comment>
    <comment authorId="0" ref="AI41">
      <text>
        <t xml:space="preserve">CG for rates</t>
      </text>
    </comment>
    <comment authorId="0" ref="O48">
      <text>
        <t xml:space="preserve">This formula is weird because one barrows chest is expected to contain 7/102 barrows items (~1/14.57).
1/15 is nice but doing it this way will correctly count double chests.</t>
      </text>
    </comment>
  </commentList>
</comments>
</file>

<file path=xl/sharedStrings.xml><?xml version="1.0" encoding="utf-8"?>
<sst xmlns="http://schemas.openxmlformats.org/spreadsheetml/2006/main" count="2402" uniqueCount="1016">
  <si>
    <t>RULESET AND POINTS</t>
  </si>
  <si>
    <r>
      <rPr>
        <rFont val="Arial"/>
        <color theme="1"/>
        <sz val="10.0"/>
      </rPr>
      <t xml:space="preserve">1. Easy Tiles (yellow) = 5 points
2. Medium Tiles (orange) = 10 points
3. Hard Tiles (red) = 20 points
4. 30 bonus points for a row or column completion.
</t>
    </r>
    <r>
      <rPr>
        <rFont val="Arial"/>
        <color rgb="FF980000"/>
        <sz val="10.0"/>
      </rPr>
      <t>Please see '</t>
    </r>
    <r>
      <rPr>
        <rFont val="Arial"/>
        <b/>
        <color rgb="FF980000"/>
        <sz val="10.0"/>
      </rPr>
      <t>Accepted Drops</t>
    </r>
    <r>
      <rPr>
        <rFont val="Arial"/>
        <color rgb="FF980000"/>
        <sz val="10.0"/>
      </rPr>
      <t>' tab</t>
    </r>
    <r>
      <rPr>
        <rFont val="Arial"/>
        <color theme="1"/>
        <sz val="10.0"/>
      </rPr>
      <t xml:space="preserve"> for details on accepted uniques and how much they contribute towards tile completion (e.g. Araxxor tile requires 12 'points' to complete which can be 4 nally pieces and 1 araxyte head and 1 jar of venom).
- If you go over the 'point' requirement to complete a tile, this does not award additional score.
Tiles with a ✅ require pre-verification screenshots before submissions are accepted.
</t>
    </r>
    <r>
      <rPr>
        <rFont val="Arial"/>
        <color theme="1"/>
        <sz val="10.0"/>
        <u/>
      </rPr>
      <t>Bonus Tiles:</t>
    </r>
    <r>
      <rPr>
        <rFont val="Arial"/>
        <color theme="1"/>
        <sz val="10.0"/>
      </rPr>
      <t xml:space="preserve">
- These tiles exist in case there are any keen PvMers out there willing to flex their skills. Points are awarded per unique.
- Receiving a jar / pet / megarare will contribute to the main tile completion and award bonus points.
- Only 1 Chompy Chick, Beef, Skotos, Pet Chaos Elemental, Jar of Dirt, Jar of Light and Jar of Darkness will contribute bonus points per team.
- Each bonus tile can award a maximum of 20 bonus points.
Additional Notes:
- DT2 vestige drops require additional screenshots of 2 sets of gold ring drops (i.e. 1x gold ring and 2x gold rings).
- Mortimer is just the theme. Tasks can be from any slayer master.
- Double pickpocket with Rogue's set does not contribute additional completions.
</t>
    </r>
    <r>
      <rPr>
        <rFont val="Arial"/>
        <color theme="1"/>
        <sz val="9.0"/>
      </rPr>
      <t>- Buying fletching knife from Vale Totems shop will not count as a game notification will not be given.</t>
    </r>
  </si>
  <si>
    <t>Mad Angel</t>
  </si>
  <si>
    <t>Hueycoatl</t>
  </si>
  <si>
    <t>Grotesque Guardians</t>
  </si>
  <si>
    <t>Tormented Demons</t>
  </si>
  <si>
    <t>Cerberus</t>
  </si>
  <si>
    <t>Chambers of Xeric</t>
  </si>
  <si>
    <t>Medium Boots</t>
  </si>
  <si>
    <t>Yama</t>
  </si>
  <si>
    <t>Tempoross</t>
  </si>
  <si>
    <t>Theatre of Blood</t>
  </si>
  <si>
    <t>Mortimer</t>
  </si>
  <si>
    <t>Demonic Gorillas</t>
  </si>
  <si>
    <t>Godwars Dungeon</t>
  </si>
  <si>
    <t>Vorkath</t>
  </si>
  <si>
    <t>Tombs of Amascut</t>
  </si>
  <si>
    <t>Guardians of the Rift</t>
  </si>
  <si>
    <t>Phantom Muspah</t>
  </si>
  <si>
    <t>Royal Titans</t>
  </si>
  <si>
    <t>Wintertodt</t>
  </si>
  <si>
    <t>Araxxor</t>
  </si>
  <si>
    <t>Zulrah</t>
  </si>
  <si>
    <t>Armoured Zombies</t>
  </si>
  <si>
    <t>Doom of Mokhaiotl</t>
  </si>
  <si>
    <t>Abyssal Sire</t>
  </si>
  <si>
    <t>Alchemical Hydra</t>
  </si>
  <si>
    <t>Zalcano</t>
  </si>
  <si>
    <t>Scurrius</t>
  </si>
  <si>
    <t>Gauntlet</t>
  </si>
  <si>
    <t>Skilling Tools</t>
  </si>
  <si>
    <t>Maggot King</t>
  </si>
  <si>
    <t>Thieving</t>
  </si>
  <si>
    <t>Barrows</t>
  </si>
  <si>
    <t>DT2 Bosses</t>
  </si>
  <si>
    <t>Wilderness Trio</t>
  </si>
  <si>
    <t>Dagannoth Kings</t>
  </si>
  <si>
    <t>Moons of Peril</t>
  </si>
  <si>
    <t>Nex</t>
  </si>
  <si>
    <t>Nightmare</t>
  </si>
  <si>
    <t>Megarares</t>
  </si>
  <si>
    <t>Jar/Pet</t>
  </si>
  <si>
    <t>Colosseum</t>
  </si>
  <si>
    <t>Corporeal Beast</t>
  </si>
  <si>
    <t>P R E - V E R I F I C A T I O N</t>
  </si>
  <si>
    <t>S U B M I S S I O N S</t>
  </si>
  <si>
    <t>Members</t>
  </si>
  <si>
    <t>WT</t>
  </si>
  <si>
    <t>Tempo</t>
  </si>
  <si>
    <t>Clues</t>
  </si>
  <si>
    <t>GOTR</t>
  </si>
  <si>
    <t>Blood Shard</t>
  </si>
  <si>
    <t>Teleport Seed</t>
  </si>
  <si>
    <t>Chisel</t>
  </si>
  <si>
    <t>Hammer</t>
  </si>
  <si>
    <t>Knife</t>
  </si>
  <si>
    <t>Points</t>
  </si>
  <si>
    <t>Tiles</t>
  </si>
  <si>
    <t>Total GP</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</si>
  <si>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</si>
  <si>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</si>
  <si>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</si>
  <si>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</si>
  <si>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</si>
  <si>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</si>
  <si>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</si>
  <si>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</si>
  <si>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</si>
  <si>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</si>
  <si>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</si>
  <si>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</si>
  <si>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</si>
  <si>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</si>
  <si>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</si>
  <si>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</si>
  <si>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</si>
  <si>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</si>
  <si>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</si>
  <si>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</si>
  <si>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</si>
  <si>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</si>
  <si>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</si>
  <si>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</si>
  <si>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</si>
  <si>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</si>
  <si>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</si>
  <si>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</si>
  <si>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</si>
  <si>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</si>
  <si>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</si>
  <si>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</si>
  <si>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</si>
  <si>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</si>
  <si>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</si>
  <si>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Arcane0214</t>
  </si>
  <si>
    <t>Maggot King - Elder Venator Fang</t>
  </si>
  <si>
    <t>Bear clogs</t>
  </si>
  <si>
    <t>DT2 Bosses - Blood Quartz</t>
  </si>
  <si>
    <t>DT2 Bosses - Virtus Piece (any)</t>
  </si>
  <si>
    <t>DT2 Bosses - Ultor Vestige (+ 2x gold ring)</t>
  </si>
  <si>
    <t>Wilderness Trio - Ring (any)</t>
  </si>
  <si>
    <t>Wilderness Trio - Dragon 2h Sword</t>
  </si>
  <si>
    <t>Wilderness Trio - Pet</t>
  </si>
  <si>
    <t>Jar/Pet - Pet</t>
  </si>
  <si>
    <t>God Wars Dungeon - Godsword Shard (any)</t>
  </si>
  <si>
    <t>em19em19</t>
  </si>
  <si>
    <t>✅</t>
  </si>
  <si>
    <t>Medium Boots - Spiked Manacles</t>
  </si>
  <si>
    <t>Thieving - Enhanced Crystal Teleport Seed</t>
  </si>
  <si>
    <t>GOTR - Abyssal Dye (any)</t>
  </si>
  <si>
    <t>Excadriill</t>
  </si>
  <si>
    <t>Faultiest</t>
  </si>
  <si>
    <t>GOTR - Elemental Talisman</t>
  </si>
  <si>
    <t>Armoured Zombies - Zombie Axe</t>
  </si>
  <si>
    <t>Armoured Zombies - Zombie Helm</t>
  </si>
  <si>
    <t>FearBanana</t>
  </si>
  <si>
    <t>Moons of Peril - Blue Moon Piece (any)</t>
  </si>
  <si>
    <t>Moons of Peril - Eclipse Moon Piece (any)</t>
  </si>
  <si>
    <t>Skilling Tools - Jeweller's Chisel</t>
  </si>
  <si>
    <t>GOTR - Catalytic Talisman</t>
  </si>
  <si>
    <t>Mad Angel - Hallowfell</t>
  </si>
  <si>
    <t>Hueycoatl - Hueycoatl Hide</t>
  </si>
  <si>
    <t>Royal Titans - Ice Element Staff Crown</t>
  </si>
  <si>
    <t>Foresto</t>
  </si>
  <si>
    <t>Barrows - Verac's Piece (any)</t>
  </si>
  <si>
    <t>Grotesque Guardians - Granite Gloves</t>
  </si>
  <si>
    <t>Grotesque Guardians - Black Tourmaline Core</t>
  </si>
  <si>
    <t>Mortimer - Belle's Folly</t>
  </si>
  <si>
    <t>Scurrius - Scurrius' Spine</t>
  </si>
  <si>
    <t>Medium Boots - Ranger Boots</t>
  </si>
  <si>
    <t>Demonic Gorillas - Zenyte Shard</t>
  </si>
  <si>
    <t>Phantom Muspah - Venator Shard</t>
  </si>
  <si>
    <t>Frangud</t>
  </si>
  <si>
    <t>Gauntlet - Crystal Armour Seed</t>
  </si>
  <si>
    <t>Royal Titans - Bran</t>
  </si>
  <si>
    <t>Mortimer - Dragon Harpoon</t>
  </si>
  <si>
    <t>Vorkath - Vorkath's Head</t>
  </si>
  <si>
    <t>Abyssal Sire - Unsired</t>
  </si>
  <si>
    <t>Jar/Pet - Jar</t>
  </si>
  <si>
    <t>Cerberus - Smouldering Stone</t>
  </si>
  <si>
    <t>Gas Stone86</t>
  </si>
  <si>
    <t>GIMhimejoshi</t>
  </si>
  <si>
    <t>Mortimer - Abyssal Whip</t>
  </si>
  <si>
    <t>Mortimer - Abyssal Head</t>
  </si>
  <si>
    <t>HareForceOne</t>
  </si>
  <si>
    <t>Araxxor - Araxyte Head</t>
  </si>
  <si>
    <t>Vorkath - Jar of Decay</t>
  </si>
  <si>
    <t>Alchemical Hydra - Hydra's Leather</t>
  </si>
  <si>
    <t>Cerberus - Eternal Crystal</t>
  </si>
  <si>
    <t>Henacy</t>
  </si>
  <si>
    <t>Medium Boots - Holy Sandals</t>
  </si>
  <si>
    <t>IMfinish</t>
  </si>
  <si>
    <t>Skilling Tools - Fletching Knife</t>
  </si>
  <si>
    <t>Demonic Gorillas - Ballista Limbs</t>
  </si>
  <si>
    <t>Demonic Gorillas - Ballista Spring</t>
  </si>
  <si>
    <t>Demonic Gorillas - Monkey Tail</t>
  </si>
  <si>
    <t>Wilderness Trio - Fangs of Venenatis</t>
  </si>
  <si>
    <t>Wilderness Trio - Dragon Pickaxe</t>
  </si>
  <si>
    <t>Iron bm king</t>
  </si>
  <si>
    <t>Doom of Mokhaiotl - Dom</t>
  </si>
  <si>
    <t>Chambers of Xeric - Dexterous Prayer Scroll</t>
  </si>
  <si>
    <t>Chambers of Xeric - Ancestral Piece (any)</t>
  </si>
  <si>
    <t>IronDresser</t>
  </si>
  <si>
    <t>Gauntlet - Crystal Weapon Seed</t>
  </si>
  <si>
    <t>Araxxor - Jar of Venom</t>
  </si>
  <si>
    <t>Araxxor - Noxious Piece (any)</t>
  </si>
  <si>
    <t>Hueycoatl - Tome of Earth</t>
  </si>
  <si>
    <t>God Wars Dungeon - Saradomin Sword</t>
  </si>
  <si>
    <t>JamesMokka</t>
  </si>
  <si>
    <t>Tormented Demons - Tormented Synapse</t>
  </si>
  <si>
    <t>JaysunMimosa</t>
  </si>
  <si>
    <t>Tombs of Amascut - Masori Piece (any)</t>
  </si>
  <si>
    <t>GOTR - Abyssal Lantern</t>
  </si>
  <si>
    <t>DT2 Bosses - Chromium Ingot</t>
  </si>
  <si>
    <t>Royal Titans - Mystic Vigour Prayer Scroll</t>
  </si>
  <si>
    <t>Zalcano - Crystal Tool Seed</t>
  </si>
  <si>
    <t>Lowbob PVM</t>
  </si>
  <si>
    <t>Alchemical Hydra - Jar of Chemicals</t>
  </si>
  <si>
    <t>Mandahore</t>
  </si>
  <si>
    <t>MiaTheDuck3</t>
  </si>
  <si>
    <t>Mortimer - Leaf-bladed Sword</t>
  </si>
  <si>
    <t>OdinswrathUN</t>
  </si>
  <si>
    <t>Grotesque Guardians - Granite Ring</t>
  </si>
  <si>
    <t>Grotesque Guardians - Granite Maul</t>
  </si>
  <si>
    <t>Papi Aksta</t>
  </si>
  <si>
    <t>Thieving - Blood Shard</t>
  </si>
  <si>
    <t>Doom of Mokhaiotl - Eye of Ayak</t>
  </si>
  <si>
    <t>God Wars Dungeon - Armadyl Crossbow</t>
  </si>
  <si>
    <t>God Wars Dungeon - Bandos Hilt</t>
  </si>
  <si>
    <t>God Wars Dungeon - Bandos Piece (any)</t>
  </si>
  <si>
    <t>Yama - Soulflame Horn</t>
  </si>
  <si>
    <t>Pavlovs dog</t>
  </si>
  <si>
    <t>Barrows - Ahrim's Piece (any)</t>
  </si>
  <si>
    <t>Barrows - Dharok's Piece (any)</t>
  </si>
  <si>
    <t>Barrows - Torag's Piece (any)</t>
  </si>
  <si>
    <t>Barrows - Karil's Piece (any)</t>
  </si>
  <si>
    <t>Gauntlet - Enhanced Crystal Weapon Seed</t>
  </si>
  <si>
    <t>Rs Kill King</t>
  </si>
  <si>
    <t>Dagannoth Kings - Seercull</t>
  </si>
  <si>
    <t>Dagannoth Kings - Rings (other)</t>
  </si>
  <si>
    <t>Fortis Colosseum - Sunfire fanatic chausses</t>
  </si>
  <si>
    <t>Fortis Colosseum - Echo crystal(s) (1-3)</t>
  </si>
  <si>
    <t>sfsd</t>
  </si>
  <si>
    <t>Zulrah - Tanzanite Fang</t>
  </si>
  <si>
    <t>Zulrah - Uncut Onyx</t>
  </si>
  <si>
    <t>God Wars Dungeon - Staff of the Dead</t>
  </si>
  <si>
    <t>ShermyX</t>
  </si>
  <si>
    <t>Tempoross - Soaked Pages X 25</t>
  </si>
  <si>
    <t>Tempoross - Tome of Water</t>
  </si>
  <si>
    <t>Wintertodt - Tome of Fire</t>
  </si>
  <si>
    <t>Smokey Dro</t>
  </si>
  <si>
    <t>Tombs of Amascut - Lightbearer</t>
  </si>
  <si>
    <t>Tombs of Amascut - Osmunten's Fang</t>
  </si>
  <si>
    <t>Sn0ddy</t>
  </si>
  <si>
    <t>Suntj</t>
  </si>
  <si>
    <t>Mortimer - Basilisk Head</t>
  </si>
  <si>
    <t>Mortimer - Basilisk Jaw</t>
  </si>
  <si>
    <t>Dagannoth Kings - Dragon axe</t>
  </si>
  <si>
    <t>Dagannoth Kings - Berserker Ring</t>
  </si>
  <si>
    <t>Phantom Muspah - Muphin</t>
  </si>
  <si>
    <t>Swordfish ll</t>
  </si>
  <si>
    <t>Tormented Demons - Burning Claw</t>
  </si>
  <si>
    <t>Zulrah - Serpentine Visage</t>
  </si>
  <si>
    <t>Zulrah - Magic Fang</t>
  </si>
  <si>
    <t>The Beaks</t>
  </si>
  <si>
    <t>Royal Titans - Fire Element Staff Crown</t>
  </si>
  <si>
    <t>UK HMRC</t>
  </si>
  <si>
    <t>Medium Boots - Climbing Boots (g)</t>
  </si>
  <si>
    <t>Royal Titans - Deadeye Prayer Scroll</t>
  </si>
  <si>
    <t>vainqueurs</t>
  </si>
  <si>
    <t>Moons of Peril - Blood Moon Piece (any)</t>
  </si>
  <si>
    <t>Y e l l a a</t>
  </si>
  <si>
    <t>/</t>
  </si>
  <si>
    <t>UNIQUE</t>
  </si>
  <si>
    <t>RATE</t>
  </si>
  <si>
    <t>POINTS</t>
  </si>
  <si>
    <t>Hallowfell</t>
  </si>
  <si>
    <t>1/127</t>
  </si>
  <si>
    <t>Hueycoatl Hide</t>
  </si>
  <si>
    <t>1/28</t>
  </si>
  <si>
    <t>Granite Maul</t>
  </si>
  <si>
    <t>1/125</t>
  </si>
  <si>
    <t>Tormented Synapse</t>
  </si>
  <si>
    <t>1/500</t>
  </si>
  <si>
    <t>Primordial Crystal</t>
  </si>
  <si>
    <t>1/520</t>
  </si>
  <si>
    <t>Dexterous Prayer Scroll</t>
  </si>
  <si>
    <t>Jar of Light</t>
  </si>
  <si>
    <t>1/1000</t>
  </si>
  <si>
    <t>Tome of Earth</t>
  </si>
  <si>
    <t>1/90</t>
  </si>
  <si>
    <t>Granite Gloves</t>
  </si>
  <si>
    <t>1/250</t>
  </si>
  <si>
    <t>Burning Claw</t>
  </si>
  <si>
    <t>1/501</t>
  </si>
  <si>
    <t>Pegasian Crystal</t>
  </si>
  <si>
    <t>Arcane Prayer Scroll</t>
  </si>
  <si>
    <t>Aggy</t>
  </si>
  <si>
    <t>Dragon Hunter Wand</t>
  </si>
  <si>
    <t>1/105</t>
  </si>
  <si>
    <t>Granite Ring</t>
  </si>
  <si>
    <t>eKC:</t>
  </si>
  <si>
    <t>eTTC:</t>
  </si>
  <si>
    <t>Eternal Crystal</t>
  </si>
  <si>
    <t>Twisted Buckler</t>
  </si>
  <si>
    <t>1/15</t>
  </si>
  <si>
    <t>Huberte</t>
  </si>
  <si>
    <t>1/400</t>
  </si>
  <si>
    <t>Granite Hammer</t>
  </si>
  <si>
    <t>1/375</t>
  </si>
  <si>
    <t>Smouldering Stone</t>
  </si>
  <si>
    <t>Dragon Hunter Crossbow</t>
  </si>
  <si>
    <t>Black Tourmaline Core</t>
  </si>
  <si>
    <t>Jar of Souls</t>
  </si>
  <si>
    <t>Ancestral Piece (any)</t>
  </si>
  <si>
    <t>Jar of Stone</t>
  </si>
  <si>
    <t>Avernic Defender Hilt</t>
  </si>
  <si>
    <t>Hellpuppy</t>
  </si>
  <si>
    <t>Dinh's Bulwark</t>
  </si>
  <si>
    <t>1/20</t>
  </si>
  <si>
    <t>Ranger Boots</t>
  </si>
  <si>
    <t>1/283</t>
  </si>
  <si>
    <t>Noon</t>
  </si>
  <si>
    <t>Ghrazi Rapier</t>
  </si>
  <si>
    <t>Dragon Claws</t>
  </si>
  <si>
    <t>Wizard Boots</t>
  </si>
  <si>
    <t>Soulflame Horn</t>
  </si>
  <si>
    <t>1/300</t>
  </si>
  <si>
    <t>Sanguinesti Staff</t>
  </si>
  <si>
    <t>Elder Maul</t>
  </si>
  <si>
    <t>1/30</t>
  </si>
  <si>
    <t>Holy Sandals</t>
  </si>
  <si>
    <t>Oathplate Piece (any)</t>
  </si>
  <si>
    <t>1/200</t>
  </si>
  <si>
    <t>Justiciar Piece (any)</t>
  </si>
  <si>
    <t>Kodai Insignia</t>
  </si>
  <si>
    <t>Spiked Manacles</t>
  </si>
  <si>
    <t>Yami</t>
  </si>
  <si>
    <t>Scythe of Vitur</t>
  </si>
  <si>
    <t>1/19</t>
  </si>
  <si>
    <t>Basilisk Head</t>
  </si>
  <si>
    <t>Twisted Bow</t>
  </si>
  <si>
    <t>Climbing Boots (g)</t>
  </si>
  <si>
    <t>Fish Barrel</t>
  </si>
  <si>
    <t>Holy Ornament Kit</t>
  </si>
  <si>
    <t>1/100</t>
  </si>
  <si>
    <t>Basilisk Jaw</t>
  </si>
  <si>
    <t>Olmet</t>
  </si>
  <si>
    <t>1/53</t>
  </si>
  <si>
    <t>Tackle Box</t>
  </si>
  <si>
    <t>Sanguine Ornament Kit</t>
  </si>
  <si>
    <t>1/150</t>
  </si>
  <si>
    <t>Horn of Plenty</t>
  </si>
  <si>
    <t>Twisted Ancestral Colour Kit</t>
  </si>
  <si>
    <t>1/75</t>
  </si>
  <si>
    <t>God Wars Dungeon</t>
  </si>
  <si>
    <t>Soaked Pages X 25</t>
  </si>
  <si>
    <t>Sanguine Dust</t>
  </si>
  <si>
    <t>1/275</t>
  </si>
  <si>
    <t>Belle's Folly</t>
  </si>
  <si>
    <t>Metamorphic Dust</t>
  </si>
  <si>
    <t>Vorkath's Head</t>
  </si>
  <si>
    <t>1/50</t>
  </si>
  <si>
    <t>Big Harpoonfish</t>
  </si>
  <si>
    <t>1/1600</t>
  </si>
  <si>
    <t>Lil' Zik</t>
  </si>
  <si>
    <t>1/500-650</t>
  </si>
  <si>
    <t>Antler Guard</t>
  </si>
  <si>
    <t>1/650</t>
  </si>
  <si>
    <t>Saradomin Sword</t>
  </si>
  <si>
    <t>Dragonbone Necklace</t>
  </si>
  <si>
    <t>Tome of Water</t>
  </si>
  <si>
    <t>Warped Sceptre</t>
  </si>
  <si>
    <t>1/320</t>
  </si>
  <si>
    <t>CM eKC:</t>
  </si>
  <si>
    <t>CM eTTC:</t>
  </si>
  <si>
    <t>Saradomin's Light</t>
  </si>
  <si>
    <t>1/254</t>
  </si>
  <si>
    <t>Draconic Visage</t>
  </si>
  <si>
    <t>Dragon Harpoon</t>
  </si>
  <si>
    <t>HM eKC:</t>
  </si>
  <si>
    <t>HM eTTC:</t>
  </si>
  <si>
    <t>Black Mask</t>
  </si>
  <si>
    <t>1/512</t>
  </si>
  <si>
    <t>Armadyl Crossbow</t>
  </si>
  <si>
    <t>1/508</t>
  </si>
  <si>
    <t>Skeletal Visage</t>
  </si>
  <si>
    <t>Tiny Tempor</t>
  </si>
  <si>
    <t>Leaf-bladed Sword</t>
  </si>
  <si>
    <t>1/384</t>
  </si>
  <si>
    <t>Saradomin Hilt</t>
  </si>
  <si>
    <t>Jar of Decay</t>
  </si>
  <si>
    <t>Leaf-bladed Battleaxe</t>
  </si>
  <si>
    <t>Zenyte Shard</t>
  </si>
  <si>
    <t>Bandos Piece (any)</t>
  </si>
  <si>
    <t>Vorki</t>
  </si>
  <si>
    <t>Catalytic Talisman</t>
  </si>
  <si>
    <t>Kurask Head</t>
  </si>
  <si>
    <t>Ballista Limbs</t>
  </si>
  <si>
    <t>Bandos Hilt</t>
  </si>
  <si>
    <t>Elemental Talisman</t>
  </si>
  <si>
    <t>1/306.3</t>
  </si>
  <si>
    <t>1/860</t>
  </si>
  <si>
    <t>Ballista Spring</t>
  </si>
  <si>
    <t>Armadyl Piece (any)</t>
  </si>
  <si>
    <t>Osmunten's Fang</t>
  </si>
  <si>
    <t>Abyssal Needle</t>
  </si>
  <si>
    <t>Aquanite Tendon</t>
  </si>
  <si>
    <t>1/750</t>
  </si>
  <si>
    <t>Light Frame</t>
  </si>
  <si>
    <t>Armadyl Hilt</t>
  </si>
  <si>
    <t>Lightbearer</t>
  </si>
  <si>
    <t>Abyssal Lantern</t>
  </si>
  <si>
    <t>1/700</t>
  </si>
  <si>
    <t>Drake's Tooth</t>
  </si>
  <si>
    <t>Heavy Frame</t>
  </si>
  <si>
    <t>1/1500</t>
  </si>
  <si>
    <t>Steam Battlestaff</t>
  </si>
  <si>
    <t>Noxious Piece (any)</t>
  </si>
  <si>
    <t>Elidinis' Ward</t>
  </si>
  <si>
    <t>Abyssal Dye (any)</t>
  </si>
  <si>
    <t>Drake's Claw</t>
  </si>
  <si>
    <t>Monkey Tail</t>
  </si>
  <si>
    <t>Zamorakian Spear</t>
  </si>
  <si>
    <t>Araxyte Fang</t>
  </si>
  <si>
    <t>1/600</t>
  </si>
  <si>
    <t>Masori Piece (any)</t>
  </si>
  <si>
    <t>Abyssal Protector</t>
  </si>
  <si>
    <t>1/4000</t>
  </si>
  <si>
    <t>Staff of the Dead</t>
  </si>
  <si>
    <t>Araxyte Head</t>
  </si>
  <si>
    <t>Tumeken's Shadow</t>
  </si>
  <si>
    <t>1/24</t>
  </si>
  <si>
    <t>Dark Bow</t>
  </si>
  <si>
    <t>Zamorak Hilt</t>
  </si>
  <si>
    <t>Jar of Venom</t>
  </si>
  <si>
    <t>Tumeken's Guardian</t>
  </si>
  <si>
    <t>variable</t>
  </si>
  <si>
    <t>Occult necklace</t>
  </si>
  <si>
    <t>Godsword Shard (any)</t>
  </si>
  <si>
    <t>Nid</t>
  </si>
  <si>
    <t>Aranea Boots</t>
  </si>
  <si>
    <t>1/800</t>
  </si>
  <si>
    <t>Fire Element Staff Crown</t>
  </si>
  <si>
    <t>Pet</t>
  </si>
  <si>
    <t>Zombie Axe</t>
  </si>
  <si>
    <t>1/600-800</t>
  </si>
  <si>
    <t>Abyssal Whip</t>
  </si>
  <si>
    <t>Ice Element Staff Crown</t>
  </si>
  <si>
    <t>A eKC:</t>
  </si>
  <si>
    <t>Zombie Helm</t>
  </si>
  <si>
    <t>Abyssal Head</t>
  </si>
  <si>
    <t>Mystic Vigour Prayer Scroll</t>
  </si>
  <si>
    <t>B eKC:</t>
  </si>
  <si>
    <t>Tanzanite Fang</t>
  </si>
  <si>
    <t>Crawling Hand</t>
  </si>
  <si>
    <t>Deadeye Prayer Scroll</t>
  </si>
  <si>
    <t>S eKC:</t>
  </si>
  <si>
    <t>Crystal Tool Seed</t>
  </si>
  <si>
    <t>1/205</t>
  </si>
  <si>
    <t>Magic Fang</t>
  </si>
  <si>
    <t>Cockatrice Head</t>
  </si>
  <si>
    <t>Bran</t>
  </si>
  <si>
    <t>Z eKC:</t>
  </si>
  <si>
    <t>Zalcano Shard</t>
  </si>
  <si>
    <t>1/750-1500</t>
  </si>
  <si>
    <t>Serpentine Visage</t>
  </si>
  <si>
    <t>Imbued Heart</t>
  </si>
  <si>
    <t>Uncut Onyx</t>
  </si>
  <si>
    <t>Crystal Weapon Seed</t>
  </si>
  <si>
    <t>Eternal Gem</t>
  </si>
  <si>
    <t>Smolcano</t>
  </si>
  <si>
    <t>Mutagen (any)</t>
  </si>
  <si>
    <t>Crystal Armour Seed</t>
  </si>
  <si>
    <t>N/A</t>
  </si>
  <si>
    <t>Tome of Fire</t>
  </si>
  <si>
    <t>Jar of Swamp</t>
  </si>
  <si>
    <t>Enhanced Crystal Weapon Seed</t>
  </si>
  <si>
    <t>Unsired</t>
  </si>
  <si>
    <t>Dragon Axe</t>
  </si>
  <si>
    <t>1/10000</t>
  </si>
  <si>
    <t>Pet Snakeling</t>
  </si>
  <si>
    <t>Youngllef</t>
  </si>
  <si>
    <t>Phoenix</t>
  </si>
  <si>
    <t>Venator Shard</t>
  </si>
  <si>
    <t>Ahrim's Piece (any)</t>
  </si>
  <si>
    <t>Muphin</t>
  </si>
  <si>
    <t>Guthan's Piece (any)</t>
  </si>
  <si>
    <t>Elder Venator Fang</t>
  </si>
  <si>
    <t>1/340</t>
  </si>
  <si>
    <t>Karil's Piece (any)</t>
  </si>
  <si>
    <t>Scurrius' Spine</t>
  </si>
  <si>
    <t>1/33</t>
  </si>
  <si>
    <t>Dragon Pickaxe</t>
  </si>
  <si>
    <t>Crimson Kisten</t>
  </si>
  <si>
    <t>Brimstone Ring Piece</t>
  </si>
  <si>
    <t>1/181</t>
  </si>
  <si>
    <t>Dharok's Piece (any)</t>
  </si>
  <si>
    <t>Scurry</t>
  </si>
  <si>
    <t>Ring (any)</t>
  </si>
  <si>
    <t>Maggot Marquess</t>
  </si>
  <si>
    <t>Hydra's Tail</t>
  </si>
  <si>
    <t>1/513</t>
  </si>
  <si>
    <t>Torag's Piece (any)</t>
  </si>
  <si>
    <t>Voidwaker Piece (any)</t>
  </si>
  <si>
    <t>Avernic Treads</t>
  </si>
  <si>
    <t>Hydra's Leather</t>
  </si>
  <si>
    <t>1/514</t>
  </si>
  <si>
    <t>Verac's Piece (any)</t>
  </si>
  <si>
    <t>Claws of Callisto</t>
  </si>
  <si>
    <t>1/196-618</t>
  </si>
  <si>
    <t>Eye of Ayak</t>
  </si>
  <si>
    <t>Hydra's Claw</t>
  </si>
  <si>
    <t>1/1001</t>
  </si>
  <si>
    <t>Skull of Vet'ion</t>
  </si>
  <si>
    <t>Mokhaiotl Cloth</t>
  </si>
  <si>
    <t>Jar of Chemicals</t>
  </si>
  <si>
    <t>Chromium Ingot</t>
  </si>
  <si>
    <t>Fangs of Venenatis</t>
  </si>
  <si>
    <t>Dom</t>
  </si>
  <si>
    <t>Eclipse Moon Piece (any)</t>
  </si>
  <si>
    <t>Ikkle Hydra</t>
  </si>
  <si>
    <t>Virtus Piece (any)</t>
  </si>
  <si>
    <t>Dragon 2h Sword</t>
  </si>
  <si>
    <t>1/256</t>
  </si>
  <si>
    <t>Blood Moon Piece (any)</t>
  </si>
  <si>
    <t>Ultor Vestige (+ 2x gold ring)</t>
  </si>
  <si>
    <t>1/1088</t>
  </si>
  <si>
    <t>Blue Moon Piece (any)</t>
  </si>
  <si>
    <t>Executioner's Axe Head</t>
  </si>
  <si>
    <t>💀 eKC:</t>
  </si>
  <si>
    <t>Blood Quartz</t>
  </si>
  <si>
    <t>1/204</t>
  </si>
  <si>
    <t>🐻 eKC:</t>
  </si>
  <si>
    <t>Pharaoh's Sceptre</t>
  </si>
  <si>
    <t>Magus Vestige (+ 2x gold ring)</t>
  </si>
  <si>
    <t>1/720</t>
  </si>
  <si>
    <t>🕷️ eKC:</t>
  </si>
  <si>
    <t>Jeweller's Chisel</t>
  </si>
  <si>
    <t>Ring of Endurance</t>
  </si>
  <si>
    <t>Eye of the Duke</t>
  </si>
  <si>
    <t>Imcando Hammer</t>
  </si>
  <si>
    <t>Enhanced Crystal Teleport Seed</t>
  </si>
  <si>
    <t>1/1024</t>
  </si>
  <si>
    <t>Ice Quartz</t>
  </si>
  <si>
    <t>1/206</t>
  </si>
  <si>
    <t>Fletching Knife</t>
  </si>
  <si>
    <t>1/333</t>
  </si>
  <si>
    <t>Venator Vestige (+ 2x gold ring)</t>
  </si>
  <si>
    <t>1/768</t>
  </si>
  <si>
    <t>Leviathan's Lure</t>
  </si>
  <si>
    <t>Smoke Quartz</t>
  </si>
  <si>
    <t>Berserker Ring</t>
  </si>
  <si>
    <t>1/128</t>
  </si>
  <si>
    <t>Bellator Vestige (+ 2x gold ring)</t>
  </si>
  <si>
    <t>Rings (other)</t>
  </si>
  <si>
    <t>Siren's Staff</t>
  </si>
  <si>
    <t>Seercull</t>
  </si>
  <si>
    <t>Shadow Quartz</t>
  </si>
  <si>
    <t>1/209</t>
  </si>
  <si>
    <t>Mud Battlestaff</t>
  </si>
  <si>
    <t>Dragon axe</t>
  </si>
  <si>
    <t>V eKC:</t>
  </si>
  <si>
    <t>L eKC:</t>
  </si>
  <si>
    <t>D eKC:</t>
  </si>
  <si>
    <t>W eKC:</t>
  </si>
  <si>
    <t>MegaRares</t>
  </si>
  <si>
    <t>Fortis Colosseum</t>
  </si>
  <si>
    <t>Nightmare staff</t>
  </si>
  <si>
    <t>1/507</t>
  </si>
  <si>
    <t>Zaryte vambraces</t>
  </si>
  <si>
    <t>1/172</t>
  </si>
  <si>
    <t>Spectral sigil</t>
  </si>
  <si>
    <t>1/1365</t>
  </si>
  <si>
    <t>Sunfire fanatic helm</t>
  </si>
  <si>
    <t>Jar</t>
  </si>
  <si>
    <t>Inquisitor's great helm</t>
  </si>
  <si>
    <t>Nihil horn</t>
  </si>
  <si>
    <t>1/258</t>
  </si>
  <si>
    <t>Arcane sigil</t>
  </si>
  <si>
    <t>Sunfire fanatic cuirass</t>
  </si>
  <si>
    <t>Inquisitor's hauberk</t>
  </si>
  <si>
    <t>Torva full helm</t>
  </si>
  <si>
    <t>Elysian sigil</t>
  </si>
  <si>
    <t>Sunfire fanatic chausses</t>
  </si>
  <si>
    <t>Inquisitor's plateskirt</t>
  </si>
  <si>
    <t>Torva platebody</t>
  </si>
  <si>
    <t>Jar of spirits</t>
  </si>
  <si>
    <t>Tonalztics of ralos</t>
  </si>
  <si>
    <t>Tbow hrs/bingo point</t>
  </si>
  <si>
    <t>Inquisitor's mace</t>
  </si>
  <si>
    <t>1/1129</t>
  </si>
  <si>
    <t>Torva platelegs</t>
  </si>
  <si>
    <t>Pet Dark Core</t>
  </si>
  <si>
    <t>Echo crystal(s) (1-3)</t>
  </si>
  <si>
    <t>Scythe hrs/bingo point</t>
  </si>
  <si>
    <t>Eldritch orb</t>
  </si>
  <si>
    <t>Ancient hilt</t>
  </si>
  <si>
    <t>1/516</t>
  </si>
  <si>
    <t>Hours per bingo point</t>
  </si>
  <si>
    <t>Smol Heredit</t>
  </si>
  <si>
    <t>Shadow hrs/bingo point</t>
  </si>
  <si>
    <t>Harmonised orb</t>
  </si>
  <si>
    <t>Nexling</t>
  </si>
  <si>
    <t>Hrs/point (no pet gamble)</t>
  </si>
  <si>
    <t>Volatile orb</t>
  </si>
  <si>
    <t>Hrs/point (w/ pet gamble)</t>
  </si>
  <si>
    <t>Jar of Dreams</t>
  </si>
  <si>
    <t>Little Nightmare</t>
  </si>
  <si>
    <t>1/1400</t>
  </si>
  <si>
    <t>Drop</t>
  </si>
  <si>
    <t>Tier</t>
  </si>
  <si>
    <t>Pt</t>
  </si>
  <si>
    <t>Complete</t>
  </si>
  <si>
    <t>Individual</t>
  </si>
  <si>
    <t>Contribution</t>
  </si>
  <si>
    <t>Bludgeon Claw</t>
  </si>
  <si>
    <t>Abyssal Sire - Bludgeon Claw</t>
  </si>
  <si>
    <t>Low</t>
  </si>
  <si>
    <t>Bludgeon Axon</t>
  </si>
  <si>
    <t>Abyssal Sire - Bludgeon Axon</t>
  </si>
  <si>
    <t>Bludgeon Spine</t>
  </si>
  <si>
    <t>Abyssal Sire - Bludgeon Spine</t>
  </si>
  <si>
    <t>Abyssal Dagger</t>
  </si>
  <si>
    <t>Abyssal Sire - Abyssal Dagger</t>
  </si>
  <si>
    <t>Abyssal Sire - Abyssal Whip</t>
  </si>
  <si>
    <t>Alchemical Hydra - Hydra's Claw</t>
  </si>
  <si>
    <t>Hydra's Eye</t>
  </si>
  <si>
    <t>Alchemical Hydra - Hydra's Eye</t>
  </si>
  <si>
    <t>Mid</t>
  </si>
  <si>
    <t>Hydra's Fang</t>
  </si>
  <si>
    <t>Alchemical Hydra - Hydra's Fang</t>
  </si>
  <si>
    <t>Hydra's Heart</t>
  </si>
  <si>
    <t>Alchemical Hydra - Hydra's Heart</t>
  </si>
  <si>
    <t>Alchemical Hydra - Hydra's Tail</t>
  </si>
  <si>
    <t>Araxxor - Araxyte Fang</t>
  </si>
  <si>
    <t>Noxious Pommel</t>
  </si>
  <si>
    <t>Araxxor - Noxious Pommel</t>
  </si>
  <si>
    <t>Noxious Point</t>
  </si>
  <si>
    <t>Araxxor - Noxious Point</t>
  </si>
  <si>
    <t>Noxious Blade</t>
  </si>
  <si>
    <t>Araxxor - Noxious Blade</t>
  </si>
  <si>
    <t>mid</t>
  </si>
  <si>
    <t>High</t>
  </si>
  <si>
    <t>Dharok's greataxe</t>
  </si>
  <si>
    <t>Barrows - Dharok's greataxe</t>
  </si>
  <si>
    <t>Ahrim's robeskirt</t>
  </si>
  <si>
    <t>Barrows - Ahrim's robeskirt</t>
  </si>
  <si>
    <t>Ahrim's robetop</t>
  </si>
  <si>
    <t>Barrows - Ahrim's robetop</t>
  </si>
  <si>
    <t>Dharok's platelegs</t>
  </si>
  <si>
    <t>Barrows - Dharok's platelegs</t>
  </si>
  <si>
    <t>Karil's leathertop</t>
  </si>
  <si>
    <t>Barrows - Karil's leathertop</t>
  </si>
  <si>
    <t>Dharok's platebody</t>
  </si>
  <si>
    <t>Barrows - Dharok's platebody</t>
  </si>
  <si>
    <t>Ahrim's hood</t>
  </si>
  <si>
    <t>Barrows - Ahrim's hood</t>
  </si>
  <si>
    <t>Karil's leatherskirt</t>
  </si>
  <si>
    <t>Barrows - Karil's leatherskirt</t>
  </si>
  <si>
    <t>Verac's plateskirt</t>
  </si>
  <si>
    <t>Barrows - Verac's plateskirt</t>
  </si>
  <si>
    <t>Torag's platelegs</t>
  </si>
  <si>
    <t>Barrows - Torag's platelegs</t>
  </si>
  <si>
    <t>Dharok's helm</t>
  </si>
  <si>
    <t>Barrows - Dharok's helm</t>
  </si>
  <si>
    <t>Torag's platebody</t>
  </si>
  <si>
    <t>Barrows - Torag's platebody</t>
  </si>
  <si>
    <t>Guthan's chainskirt</t>
  </si>
  <si>
    <t>Barrows - Guthan's chainskirt</t>
  </si>
  <si>
    <t>Guthan's platebody</t>
  </si>
  <si>
    <t>Barrows - Guthan's platebody</t>
  </si>
  <si>
    <t>Verac's brassard</t>
  </si>
  <si>
    <t>Barrows - Verac's brassard</t>
  </si>
  <si>
    <t>Torag's helm</t>
  </si>
  <si>
    <t>Barrows - Torag's helm</t>
  </si>
  <si>
    <t>Ahrim's staff</t>
  </si>
  <si>
    <t>Barrows - Ahrim's staff</t>
  </si>
  <si>
    <t>Guthan's helm</t>
  </si>
  <si>
    <t>Barrows - Guthan's helm</t>
  </si>
  <si>
    <t>Verac's helm</t>
  </si>
  <si>
    <t>Barrows - Verac's helm</t>
  </si>
  <si>
    <t>Torag's hammers</t>
  </si>
  <si>
    <t>Barrows - Torag's hammers</t>
  </si>
  <si>
    <t>Karil's crossbow</t>
  </si>
  <si>
    <t>Barrows - Karil's crossbow</t>
  </si>
  <si>
    <t>Verac's flail</t>
  </si>
  <si>
    <t>Barrows - Verac's flail</t>
  </si>
  <si>
    <t>Guthan's warspear</t>
  </si>
  <si>
    <t>Barrows - Guthan's warspear</t>
  </si>
  <si>
    <t>Karil's coif</t>
  </si>
  <si>
    <t>Barrows - Karil's coif</t>
  </si>
  <si>
    <t>Cerberus - Primordial Crystal</t>
  </si>
  <si>
    <t>Cerberus - Pegasian Crystal</t>
  </si>
  <si>
    <t>Chambers of Xeric - Twisted Bow</t>
  </si>
  <si>
    <t>Ancestral Robe Top</t>
  </si>
  <si>
    <t>Chambers of Xeric - Ancestral Robe Top</t>
  </si>
  <si>
    <t>Chambers of Xeric - Elder Maul</t>
  </si>
  <si>
    <t>Ancestral Robe Bottom</t>
  </si>
  <si>
    <t>Chambers of Xeric - Ancestral Robe Bottom</t>
  </si>
  <si>
    <t>Chambers of Xeric - Kodai Insignia</t>
  </si>
  <si>
    <t>Ancestral Hat</t>
  </si>
  <si>
    <t>Chambers of Xeric - Ancestral Hat</t>
  </si>
  <si>
    <t>Chambers of Xeric - Dragon Claws</t>
  </si>
  <si>
    <t>Chambers of Xeric - Dragon Hunter Crossbow</t>
  </si>
  <si>
    <t>Chambers of Xeric - Dinh's Bulwark</t>
  </si>
  <si>
    <t>Chambers of Xeric - Twisted Buckler</t>
  </si>
  <si>
    <t>Chambers of Xeric - Arcane Prayer Scroll</t>
  </si>
  <si>
    <t>Elysian Sigil</t>
  </si>
  <si>
    <t>Corporeal Beast - Elysian Sigil</t>
  </si>
  <si>
    <t>Arcane Sigil</t>
  </si>
  <si>
    <t>Corporeal Beast - Arcane Sigil</t>
  </si>
  <si>
    <t>Spectral Sigil</t>
  </si>
  <si>
    <t>Corporeal Beast - Spectral Sigil</t>
  </si>
  <si>
    <t>Jar of Spirits</t>
  </si>
  <si>
    <t>Corporeal Beast - Jar of Spirits</t>
  </si>
  <si>
    <t>Ultor Vestige</t>
  </si>
  <si>
    <t>DT2 Bosses - Ultor Vestige</t>
  </si>
  <si>
    <t>DT2 Bosses - Executioner's Axe Head</t>
  </si>
  <si>
    <t>DT2 Bosses - Leviathan's Lure</t>
  </si>
  <si>
    <t>DT2 Bosses - Siren's Staff</t>
  </si>
  <si>
    <t>DT2 Bosses - Eye of the Duke</t>
  </si>
  <si>
    <t>Virtus Robe Top</t>
  </si>
  <si>
    <t>DT2 Bosses - Virtus Robe Top</t>
  </si>
  <si>
    <t>Virtus Robe Bottom</t>
  </si>
  <si>
    <t>DT2 Bosses - Virtus Robe Bottom</t>
  </si>
  <si>
    <t>Magus Vestige</t>
  </si>
  <si>
    <t>DT2 Bosses - Magus Vestige</t>
  </si>
  <si>
    <t>Bellator Vestige</t>
  </si>
  <si>
    <t>DT2 Bosses - Bellator Vestige</t>
  </si>
  <si>
    <t>Virtus Mask</t>
  </si>
  <si>
    <t>DT2 Bosses - Virtus Mask</t>
  </si>
  <si>
    <t>Archers Ring</t>
  </si>
  <si>
    <t>Dagannoth Kings - Archers Ring</t>
  </si>
  <si>
    <t>Seers Ring</t>
  </si>
  <si>
    <t>Dagannoth Kings - Seers Ring</t>
  </si>
  <si>
    <t>Dagannoth Kings - Dragon Axe</t>
  </si>
  <si>
    <t>Warrior Ring</t>
  </si>
  <si>
    <t>Dagannoth Kings - Warrior Ring</t>
  </si>
  <si>
    <t>Dagannoth Kings - Mud Battlestaff</t>
  </si>
  <si>
    <t>Demonic Gorillas - Heavy Frame</t>
  </si>
  <si>
    <t>Demonic Gorillas - Light Frame</t>
  </si>
  <si>
    <t>Tormented Bracelet</t>
  </si>
  <si>
    <t>Doom of Mokhaiotl - Mokhaiotl Cloth</t>
  </si>
  <si>
    <t>Doom of Mokhaiotl - Avernic Treads</t>
  </si>
  <si>
    <t>Tonalztics of Ralos</t>
  </si>
  <si>
    <t>Fortis Colosseum - Tonalztics of Ralos</t>
  </si>
  <si>
    <t>Echo Crystal x3</t>
  </si>
  <si>
    <t>Fortis Colosseum - Echo Crystal x3</t>
  </si>
  <si>
    <t>Echo Crystal x2</t>
  </si>
  <si>
    <t>Fortis Colosseum - Echo Crystal x2</t>
  </si>
  <si>
    <t>Sunfire Fanatic Chausses</t>
  </si>
  <si>
    <t>Fortis Colosseum - Sunfire Fanatic Chausses</t>
  </si>
  <si>
    <t>Echo Crystal x1</t>
  </si>
  <si>
    <t>Fortis Colosseum - Echo Crystal x1</t>
  </si>
  <si>
    <t>Sunfire Fanatic Cuirass</t>
  </si>
  <si>
    <t>Fortis Colosseum - Sunfire Fanatic Cuirass</t>
  </si>
  <si>
    <t>Sunfire Fanatic Helm</t>
  </si>
  <si>
    <t>Fortis Colosseum - Sunfire Fanatic Helm</t>
  </si>
  <si>
    <t>Armadyl Chestplate</t>
  </si>
  <si>
    <t>God Wars Dungeon - Armadyl Chestplate</t>
  </si>
  <si>
    <t>Armadyl Chainskirt</t>
  </si>
  <si>
    <t>God Wars Dungeon - Armadyl Chainskirt</t>
  </si>
  <si>
    <t>God Wars Dungeon - Saradomin Hilt</t>
  </si>
  <si>
    <t>Bandos Chestplate</t>
  </si>
  <si>
    <t>God Wars Dungeon - Bandos Chestplate</t>
  </si>
  <si>
    <t>God Wars Dungeon - Zamorak Hilt</t>
  </si>
  <si>
    <t>Bandos Tassets</t>
  </si>
  <si>
    <t>God Wars Dungeon - Bandos Tassets</t>
  </si>
  <si>
    <t>Armadyl Helmet</t>
  </si>
  <si>
    <t>God Wars Dungeon - Armadyl Helmet</t>
  </si>
  <si>
    <t>God Wars Dungeon - Armadyl Hilt</t>
  </si>
  <si>
    <t>God Wars Dungeon - Zamorakian Spear</t>
  </si>
  <si>
    <t>Bandos Boots</t>
  </si>
  <si>
    <t>God Wars Dungeon - Bandos Boots</t>
  </si>
  <si>
    <t>Godsword Shard 2</t>
  </si>
  <si>
    <t>God Wars Dungeon - Godsword Shard 2</t>
  </si>
  <si>
    <t>Godsword Shard 3</t>
  </si>
  <si>
    <t>God Wars Dungeon - Godsword Shard 3</t>
  </si>
  <si>
    <t>Godsword Shard 1</t>
  </si>
  <si>
    <t>God Wars Dungeon - Godsword Shard 1</t>
  </si>
  <si>
    <t>God Wars Dungeon - Saradomin's Light</t>
  </si>
  <si>
    <t>God Wars Dungeon - Steam Battlestaff</t>
  </si>
  <si>
    <t>Grotesque Guardians - Granite Hammer</t>
  </si>
  <si>
    <t>Hueycoatl - Dragon Hunter Wand</t>
  </si>
  <si>
    <t>Jar of dreams</t>
  </si>
  <si>
    <t>Jar/Pet - Jar of dreams</t>
  </si>
  <si>
    <t>Jar of stone</t>
  </si>
  <si>
    <t>Jar/Pet - Jar of stone</t>
  </si>
  <si>
    <t>Jar of sand</t>
  </si>
  <si>
    <t>Jar/Pet - Jar of sand</t>
  </si>
  <si>
    <t>Jar of darkness</t>
  </si>
  <si>
    <t>Jar/Pet - Jar of darkness</t>
  </si>
  <si>
    <t>Jar/Pet - Jar of spirits</t>
  </si>
  <si>
    <t>Jar of smoke</t>
  </si>
  <si>
    <t>Jar/Pet - Jar of smoke</t>
  </si>
  <si>
    <t>Jar of chemicals</t>
  </si>
  <si>
    <t>Jar/Pet - Jar of chemicals</t>
  </si>
  <si>
    <t>Jar of miasma</t>
  </si>
  <si>
    <t>Jar/Pet - Jar of miasma</t>
  </si>
  <si>
    <t>Jar of souls</t>
  </si>
  <si>
    <t>Jar/Pet - Jar of souls</t>
  </si>
  <si>
    <t>Jar of decay</t>
  </si>
  <si>
    <t>Jar/Pet - Jar of decay</t>
  </si>
  <si>
    <t>Jar of dirt</t>
  </si>
  <si>
    <t>Jar/Pet - Jar of dirt</t>
  </si>
  <si>
    <t>Jar of swamp</t>
  </si>
  <si>
    <t>Jar/Pet - Jar of swamp</t>
  </si>
  <si>
    <t>Jar of eyes</t>
  </si>
  <si>
    <t>Jar/Pet - Jar of eyes</t>
  </si>
  <si>
    <t>Maggot King - Crimson Kisten</t>
  </si>
  <si>
    <t>Medium Boots - Wizard Boots</t>
  </si>
  <si>
    <t>MegaRares - Twisted Bow</t>
  </si>
  <si>
    <t>MegaRares - Scythe of Vitur</t>
  </si>
  <si>
    <t>MegaRares - Tumeken's Shadow</t>
  </si>
  <si>
    <t>Blood moon tassets</t>
  </si>
  <si>
    <t>Moons of Peril - Blood moon tassets</t>
  </si>
  <si>
    <t>Dual macuahuitl</t>
  </si>
  <si>
    <t>Moons of Peril - Dual macuahuitl</t>
  </si>
  <si>
    <t>Blood moon chestplate</t>
  </si>
  <si>
    <t>Moons of Peril - Blood moon chestplate</t>
  </si>
  <si>
    <t>Blue moon tassets</t>
  </si>
  <si>
    <t>Moons of Peril - Blue moon tassets</t>
  </si>
  <si>
    <t>Eclipse moon tassets</t>
  </si>
  <si>
    <t>Moons of Peril - Eclipse moon tassets</t>
  </si>
  <si>
    <t>Eclipse moon chestplate</t>
  </si>
  <si>
    <t>Moons of Peril - Eclipse moon chestplate</t>
  </si>
  <si>
    <t>Blue moon chestplate</t>
  </si>
  <si>
    <t>Moons of Peril - Blue moon chestplate</t>
  </si>
  <si>
    <t>Blood moon helm</t>
  </si>
  <si>
    <t>Moons of Peril - Blood moon helm</t>
  </si>
  <si>
    <t>Eclipse moon helm</t>
  </si>
  <si>
    <t>Moons of Peril - Eclipse moon helm</t>
  </si>
  <si>
    <t>Eclipse atlatl</t>
  </si>
  <si>
    <t>Moons of Peril - Eclipse atlatl</t>
  </si>
  <si>
    <t>Blue moon helm</t>
  </si>
  <si>
    <t>Moons of Peril - Blue moon helm</t>
  </si>
  <si>
    <t>Blue moon spear</t>
  </si>
  <si>
    <t>Moons of Peril - Blue moon spear</t>
  </si>
  <si>
    <t>Mortimer - Imbued Heart</t>
  </si>
  <si>
    <t>Mortimer - Eternal Gem</t>
  </si>
  <si>
    <t>Mortimer - Blood Shard</t>
  </si>
  <si>
    <t>Mortimer - Aquanite Tendon</t>
  </si>
  <si>
    <t>Mortimer - Black Mask</t>
  </si>
  <si>
    <t>Mortimer - Aranea Boots</t>
  </si>
  <si>
    <t>Mortimer - Dark Bow</t>
  </si>
  <si>
    <t>Mortimer - Horn of Plenty</t>
  </si>
  <si>
    <t>Mortimer - Antler Guard</t>
  </si>
  <si>
    <t>Occult Necklace</t>
  </si>
  <si>
    <t>Mortimer - Occult Necklace</t>
  </si>
  <si>
    <t>Mortimer - Drake's Claw</t>
  </si>
  <si>
    <t>Mortimer - Warped Sceptre</t>
  </si>
  <si>
    <t>Mortimer - Leaf-bladed Battleaxe</t>
  </si>
  <si>
    <t>Mortimer - Drake's Tooth</t>
  </si>
  <si>
    <t>Nihil Horn</t>
  </si>
  <si>
    <t>Nex - Nihil Horn</t>
  </si>
  <si>
    <t>Torva Full Helm</t>
  </si>
  <si>
    <t>Nex - Torva Full Helm</t>
  </si>
  <si>
    <t>Torva Platebody</t>
  </si>
  <si>
    <t>Nex - Torva Platebody</t>
  </si>
  <si>
    <t>Torva Platelegs</t>
  </si>
  <si>
    <t>Nex - Torva Platelegs</t>
  </si>
  <si>
    <t>Zaryte Vambraces</t>
  </si>
  <si>
    <t>Nex - Zaryte Vambraces</t>
  </si>
  <si>
    <t>Ancient Hilt</t>
  </si>
  <si>
    <t>Nex - Ancient Hilt</t>
  </si>
  <si>
    <t>Harmonised Orb</t>
  </si>
  <si>
    <t>Nightmare - Harmonised Orb</t>
  </si>
  <si>
    <t>Inquisitor's Mace</t>
  </si>
  <si>
    <t>Nightmare - Inquisitor's Mace</t>
  </si>
  <si>
    <t>Inquisitor's Plateskirt</t>
  </si>
  <si>
    <t>Nightmare - Inquisitor's Plateskirt</t>
  </si>
  <si>
    <t>Inquisitor's Hauberk</t>
  </si>
  <si>
    <t>Nightmare - Inquisitor's Hauberk</t>
  </si>
  <si>
    <t>Eldritch Orb</t>
  </si>
  <si>
    <t>Nightmare - Eldritch Orb</t>
  </si>
  <si>
    <t>Inquisitor's Great Helm</t>
  </si>
  <si>
    <t>Nightmare - Inquisitor's Great Helm</t>
  </si>
  <si>
    <t>Volatile Orb</t>
  </si>
  <si>
    <t>Nightmare - Volatile Orb</t>
  </si>
  <si>
    <t>Nightmare Staff</t>
  </si>
  <si>
    <t>Nightmare - Nightmare Staff</t>
  </si>
  <si>
    <t>Nightmare - Jar of Dreams</t>
  </si>
  <si>
    <t>Tempoross - Dragon Harpoon</t>
  </si>
  <si>
    <t>Soaked Pages x25</t>
  </si>
  <si>
    <t>Tempoross - Soaked Pages x25</t>
  </si>
  <si>
    <t>Theatre of Blood - Scythe of Vitur</t>
  </si>
  <si>
    <t>Theatre of Blood - Avernic Defender Hilt</t>
  </si>
  <si>
    <t>Theatre of Blood - Ghrazi Rapier</t>
  </si>
  <si>
    <t>Theatre of Blood - Sanguinesti Staff</t>
  </si>
  <si>
    <t>Justiciar Faceguard</t>
  </si>
  <si>
    <t>Theatre of Blood - Justiciar Faceguard</t>
  </si>
  <si>
    <t>Justiciar Chestguard</t>
  </si>
  <si>
    <t>Theatre of Blood - Justiciar Chestguard</t>
  </si>
  <si>
    <t>Justiciar Legguards</t>
  </si>
  <si>
    <t>Theatre of Blood - Justiciar Legguards</t>
  </si>
  <si>
    <t>Thieving - Pharaoh's Sceptre</t>
  </si>
  <si>
    <t>Thieving - Ring of Endurance</t>
  </si>
  <si>
    <t>Tombs of Amascut - Tumeken's Shadow</t>
  </si>
  <si>
    <t>Masori Body</t>
  </si>
  <si>
    <t>Tombs of Amascut - Masori Body</t>
  </si>
  <si>
    <t>Masori Chaps</t>
  </si>
  <si>
    <t>Tombs of Amascut - Masori Chaps</t>
  </si>
  <si>
    <t>Osmumten's Fang</t>
  </si>
  <si>
    <t>Tombs of Amascut - Osmumten's Fang</t>
  </si>
  <si>
    <t>Masori Mask</t>
  </si>
  <si>
    <t>Tombs of Amascut - Masori Mask</t>
  </si>
  <si>
    <t>Tombs of Amascut - Elidinis' Ward</t>
  </si>
  <si>
    <t>Vorkath - Skeletal Visage</t>
  </si>
  <si>
    <t>Vorkath - Draconic Visage</t>
  </si>
  <si>
    <t>Vorkath - Dragonbone Necklace</t>
  </si>
  <si>
    <t>Voidwaker Gem</t>
  </si>
  <si>
    <t>Wilderness Trio - Voidwaker Gem</t>
  </si>
  <si>
    <t>Voidwaker Hilt</t>
  </si>
  <si>
    <t>Wilderness Trio - Voidwaker Hilt</t>
  </si>
  <si>
    <t>Voidwaker Blade</t>
  </si>
  <si>
    <t>Wilderness Trio - Voidwaker Blade</t>
  </si>
  <si>
    <t>Ring of the Gods</t>
  </si>
  <si>
    <t>Wilderness Trio - Ring of the Gods</t>
  </si>
  <si>
    <t>Tyrannical Ring</t>
  </si>
  <si>
    <t>Wilderness Trio - Tyrannical Ring</t>
  </si>
  <si>
    <t>Treasonous Ring</t>
  </si>
  <si>
    <t>Wilderness Trio - Treasonous Ring</t>
  </si>
  <si>
    <t>Wilderness Trio - Skull of Vet'ion</t>
  </si>
  <si>
    <t>Wilderness Trio - Claws of Callisto</t>
  </si>
  <si>
    <t>Wintertodt - Dragon Axe</t>
  </si>
  <si>
    <t>Oathplate Chest</t>
  </si>
  <si>
    <t>Yama - Oathplate Chest</t>
  </si>
  <si>
    <t>Oathplate Legs</t>
  </si>
  <si>
    <t>Yama - Oathplate Legs</t>
  </si>
  <si>
    <t>Oathplate Helm</t>
  </si>
  <si>
    <t>Yama - Oathplate Helm</t>
  </si>
  <si>
    <t>Zalcano - Uncut Onyx</t>
  </si>
  <si>
    <t>Zalcano - Zalcano Shard</t>
  </si>
  <si>
    <t>Moons of Peril - Blue Moon Helm</t>
  </si>
  <si>
    <t>Moons of Peril - Eclipse Atlatl</t>
  </si>
  <si>
    <t>Barrows - Verac's Plateskirt</t>
  </si>
  <si>
    <t>Jar/Pet - Jar of Miasma</t>
  </si>
  <si>
    <t>Moons of Peril - Blue Moon Spear</t>
  </si>
  <si>
    <t>Barrows - Ahrim's Robeskirt</t>
  </si>
  <si>
    <t>Barrows - Dharok's Greataxe</t>
  </si>
  <si>
    <t>Barrows - Dharok's Platelegs</t>
  </si>
  <si>
    <t>Barrows - Karil's Crossbow</t>
  </si>
  <si>
    <t>Barrows - Karil's Leathertop</t>
  </si>
  <si>
    <t>Barrows - Torag's Helm</t>
  </si>
  <si>
    <t>Barrows - Torag's Platelegs</t>
  </si>
  <si>
    <t>Barrows - Karil's Coif</t>
  </si>
  <si>
    <t>Moons of Peril - Blood Moon Helm</t>
  </si>
  <si>
    <t>Moons of Peril - Blood Moon Tassets</t>
  </si>
  <si>
    <t>RSN</t>
  </si>
  <si>
    <t>O V E R V I E W</t>
  </si>
  <si>
    <t>B O S S I N G</t>
  </si>
  <si>
    <t>C L U E</t>
  </si>
  <si>
    <t>M I N I G A M E S</t>
  </si>
  <si>
    <t>W I L D Y</t>
  </si>
  <si>
    <t>S O L O</t>
  </si>
  <si>
    <t>D T 2</t>
  </si>
  <si>
    <t>T E A M</t>
  </si>
  <si>
    <t>S L A Y E R</t>
  </si>
  <si>
    <t>G W D</t>
  </si>
  <si>
    <t>R A I D S</t>
  </si>
  <si>
    <t>Team</t>
  </si>
  <si>
    <t>Reward</t>
  </si>
  <si>
    <t>Iron</t>
  </si>
  <si>
    <t>EHB Gain</t>
  </si>
  <si>
    <t>BOSS #</t>
  </si>
  <si>
    <t>TOT KC</t>
  </si>
  <si>
    <t>#1 Boss KC</t>
  </si>
  <si>
    <t>#2 Boss KC</t>
  </si>
  <si>
    <t>#3 Boss KC</t>
  </si>
  <si>
    <t>MED</t>
  </si>
  <si>
    <t>TEM</t>
  </si>
  <si>
    <t>GOT</t>
  </si>
  <si>
    <t>ZAL</t>
  </si>
  <si>
    <t>ART</t>
  </si>
  <si>
    <t>CAL</t>
  </si>
  <si>
    <t>CLV</t>
  </si>
  <si>
    <t>VET</t>
  </si>
  <si>
    <t>SPI</t>
  </si>
  <si>
    <t>VEN</t>
  </si>
  <si>
    <t>BAR</t>
  </si>
  <si>
    <t>DOO</t>
  </si>
  <si>
    <t>GAU</t>
  </si>
  <si>
    <t>CGA</t>
  </si>
  <si>
    <t>MOO</t>
  </si>
  <si>
    <t>MUS</t>
  </si>
  <si>
    <t>SCU</t>
  </si>
  <si>
    <t>SKO</t>
  </si>
  <si>
    <t>VOR</t>
  </si>
  <si>
    <t>ZUL</t>
  </si>
  <si>
    <t>MAD</t>
  </si>
  <si>
    <t>MAG</t>
  </si>
  <si>
    <t>COL</t>
  </si>
  <si>
    <t>DUK</t>
  </si>
  <si>
    <t>LEV</t>
  </si>
  <si>
    <t>VAR</t>
  </si>
  <si>
    <t>WHI</t>
  </si>
  <si>
    <t>HUE</t>
  </si>
  <si>
    <t>NIG</t>
  </si>
  <si>
    <t>PNM</t>
  </si>
  <si>
    <t>TIT</t>
  </si>
  <si>
    <t>YAM</t>
  </si>
  <si>
    <t>CRP</t>
  </si>
  <si>
    <t>SIR</t>
  </si>
  <si>
    <t>HYD</t>
  </si>
  <si>
    <t>ARX</t>
  </si>
  <si>
    <t>CER</t>
  </si>
  <si>
    <t>DGP</t>
  </si>
  <si>
    <t>DGR</t>
  </si>
  <si>
    <t>DGS</t>
  </si>
  <si>
    <t>GRY</t>
  </si>
  <si>
    <t>GRG</t>
  </si>
  <si>
    <t>KRK</t>
  </si>
  <si>
    <t>TSD</t>
  </si>
  <si>
    <t>ZIL</t>
  </si>
  <si>
    <t>GRA</t>
  </si>
  <si>
    <t>KRI</t>
  </si>
  <si>
    <t>KRE</t>
  </si>
  <si>
    <t>NEX</t>
  </si>
  <si>
    <t>COX</t>
  </si>
  <si>
    <t>CXC</t>
  </si>
  <si>
    <t>TOB</t>
  </si>
  <si>
    <t>TBH</t>
  </si>
  <si>
    <t>TOA</t>
  </si>
  <si>
    <t>TOE</t>
  </si>
  <si>
    <t>Thunder Crabs</t>
  </si>
  <si>
    <t>Artio</t>
  </si>
  <si>
    <t>Barrows Brothers</t>
  </si>
  <si>
    <t>Callisto</t>
  </si>
  <si>
    <t>Calvari'ion</t>
  </si>
  <si>
    <t>Chambers of Xeric: Challenge Mode</t>
  </si>
  <si>
    <t>Commander Zilyana</t>
  </si>
  <si>
    <t>Dagannoth Prime</t>
  </si>
  <si>
    <t>Dagannoth Rex</t>
  </si>
  <si>
    <t>Dagannoth Supreme</t>
  </si>
  <si>
    <t>Duke Sucellus</t>
  </si>
  <si>
    <t>The Gauntlet</t>
  </si>
  <si>
    <t>Corrupted Gauntlet</t>
  </si>
  <si>
    <t>General Graardor</t>
  </si>
  <si>
    <t>Kraken</t>
  </si>
  <si>
    <t>Kree'Arra</t>
  </si>
  <si>
    <t>K'ril Tsutsaroth</t>
  </si>
  <si>
    <t>Leviathan</t>
  </si>
  <si>
    <t>Muspah</t>
  </si>
  <si>
    <t>Phosani's Nightmare</t>
  </si>
  <si>
    <t>Shellbane Gryphon</t>
  </si>
  <si>
    <t>Skotizo</t>
  </si>
  <si>
    <t>Spindel</t>
  </si>
  <si>
    <t>Theatre of Blood: Hard Mode</t>
  </si>
  <si>
    <t>Thermonuclear Smoke Devil</t>
  </si>
  <si>
    <t>Tombs of Amascut: Expert Mode</t>
  </si>
  <si>
    <t>Vardorvis</t>
  </si>
  <si>
    <t>Venenatis</t>
  </si>
  <si>
    <t>Vet'ion</t>
  </si>
  <si>
    <t>Whisperer</t>
  </si>
  <si>
    <t>TOTALS: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</si>
</sst>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quot;&quot;;[&lt;1000000]0.00,&quot;k&quot;;0.00,,&quot;m&quot;"/>
    <numFmt numFmtId="166" formatCode="d/m"/>
    <numFmt numFmtId="167" formatCode="m/yyyy"/>
  </numFmts>
  <fonts count="29">
    <font>
      <sz val="10.0"/>
      <color rgb="FF000000"/>
      <name val="Arial"/>
      <scheme val="minor"/>
    </font>
    <font>
      <sz val="9.0"/>
      <color theme="1"/>
      <name val="Arial"/>
    </font>
    <font>
      <color theme="1"/>
      <name val="Arial"/>
    </font>
    <font>
      <sz val="27.0"/>
      <color theme="1"/>
      <name val="Arial"/>
    </font>
    <font/>
    <font>
      <sz val="23.0"/>
      <color theme="1"/>
      <name val="Arial"/>
    </font>
    <font>
      <sz val="30.0"/>
      <color theme="1"/>
      <name val="Arial"/>
    </font>
    <font>
      <sz val="11.0"/>
      <color theme="1"/>
      <name val="Arial"/>
    </font>
    <font>
      <b/>
      <color theme="1"/>
      <name val="Arial"/>
    </font>
    <font>
      <sz val="25.0"/>
      <color theme="1"/>
      <name val="Arial"/>
    </font>
    <font>
      <sz val="14.0"/>
      <color theme="1"/>
      <name val="Arial"/>
    </font>
    <font>
      <color theme="1"/>
      <name val="Arial"/>
      <scheme val="minor"/>
    </font>
    <font>
      <sz val="8.0"/>
      <color theme="1"/>
      <name val="Arial"/>
      <scheme val="minor"/>
    </font>
    <font>
      <b/>
      <color theme="1"/>
      <name val="Arial"/>
      <scheme val="minor"/>
    </font>
    <font>
      <b/>
      <color rgb="FFFFFFFF"/>
      <name val="Roboto"/>
    </font>
    <font>
      <b/>
      <i/>
      <color theme="1"/>
      <name val="Arial"/>
    </font>
    <font>
      <color theme="1"/>
      <name val="Roboto"/>
    </font>
    <font>
      <color rgb="FF434343"/>
      <name val="Roboto"/>
    </font>
    <font>
      <b/>
      <i/>
      <color rgb="FF434343"/>
      <name val="Roboto"/>
    </font>
    <font>
      <b/>
      <sz val="8.0"/>
      <color theme="1"/>
      <name val="Arial"/>
    </font>
    <font>
      <sz val="8.0"/>
      <color theme="1"/>
      <name val="Arial"/>
    </font>
    <font>
      <color rgb="FF000000"/>
      <name val="Arial"/>
    </font>
    <font>
      <b/>
      <i/>
      <color theme="1"/>
      <name val="Roboto"/>
    </font>
    <font>
      <b/>
      <i/>
      <color theme="1"/>
      <name val="Arial"/>
      <scheme val="minor"/>
    </font>
    <font>
      <b/>
      <color theme="1"/>
      <name val="Roboto"/>
    </font>
    <font>
      <b/>
      <i/>
      <color rgb="FF434343"/>
      <name val="Arial"/>
    </font>
    <font>
      <color rgb="FF473821"/>
      <name val="Roboto"/>
    </font>
    <font>
      <color rgb="FF000000"/>
      <name val="Roboto"/>
    </font>
    <font>
      <color rgb="FF000000"/>
      <name val="Arial"/>
      <scheme val="minor"/>
    </font>
  </fonts>
  <fills count="17">
    <fill>
      <patternFill patternType="none"/>
    </fill>
    <fill>
      <patternFill patternType="lightGray"/>
    </fill>
    <fill>
      <patternFill patternType="solid">
        <fgColor rgb="FF000000"/>
        <bgColor rgb="FF000000"/>
      </patternFill>
    </fill>
    <fill>
      <patternFill patternType="solid">
        <fgColor rgb="FF93C47D"/>
        <bgColor rgb="FF93C47D"/>
      </patternFill>
    </fill>
    <fill>
      <patternFill patternType="solid">
        <fgColor rgb="FFE06666"/>
        <bgColor rgb="FFE06666"/>
      </patternFill>
    </fill>
    <fill>
      <patternFill patternType="solid">
        <fgColor rgb="FFFFFFFF"/>
        <bgColor rgb="FFFFFFFF"/>
      </patternFill>
    </fill>
    <fill>
      <patternFill patternType="solid">
        <fgColor rgb="FFFFF2CC"/>
        <bgColor rgb="FFFFF2CC"/>
      </patternFill>
    </fill>
    <fill>
      <patternFill patternType="solid">
        <fgColor rgb="FFE6B8AF"/>
        <bgColor rgb="FFE6B8AF"/>
      </patternFill>
    </fill>
    <fill>
      <patternFill patternType="solid">
        <fgColor rgb="FFD9D2E9"/>
        <bgColor rgb="FFD9D2E9"/>
      </patternFill>
    </fill>
    <fill>
      <patternFill patternType="solid">
        <fgColor rgb="FFB7B7B7"/>
        <bgColor rgb="FFB7B7B7"/>
      </patternFill>
    </fill>
    <fill>
      <patternFill patternType="solid">
        <fgColor rgb="FF356854"/>
        <bgColor rgb="FF356854"/>
      </patternFill>
    </fill>
    <fill>
      <patternFill patternType="solid">
        <fgColor rgb="FFF9CB9C"/>
        <bgColor rgb="FFF9CB9C"/>
      </patternFill>
    </fill>
    <fill>
      <patternFill patternType="solid">
        <fgColor rgb="FFEAD1DC"/>
        <bgColor rgb="FFEAD1DC"/>
      </patternFill>
    </fill>
    <fill>
      <patternFill patternType="solid">
        <fgColor rgb="FFC9DAF8"/>
        <bgColor rgb="FFC9DAF8"/>
      </patternFill>
    </fill>
    <fill>
      <patternFill patternType="solid">
        <fgColor rgb="FFF6F8F9"/>
        <bgColor rgb="FFF6F8F9"/>
      </patternFill>
    </fill>
    <fill>
      <patternFill patternType="solid">
        <fgColor rgb="FFFCE8B2"/>
        <bgColor rgb="FFFCE8B2"/>
      </patternFill>
    </fill>
    <fill>
      <patternFill patternType="solid">
        <fgColor rgb="FFB7E1CD"/>
        <bgColor rgb="FFB7E1CD"/>
      </patternFill>
    </fill>
  </fills>
  <borders count="150">
    <border/>
    <border>
      <left style="thin">
        <color rgb="FF000000"/>
      </left>
      <right style="thin">
        <color rgb="FF000000"/>
      </right>
      <top style="thin">
        <color rgb="FF000000"/>
      </top>
      <bottom style="thin">
        <color rgb="FF000000"/>
      </bottom>
    </border>
    <border>
      <left style="thin">
        <color rgb="FF93C47D"/>
      </left>
      <right style="thin">
        <color rgb="FF93C47D"/>
      </right>
      <top style="thin">
        <color rgb="FF93C47D"/>
      </top>
      <bottom style="thin">
        <color rgb="FF93C47D"/>
      </bottom>
    </border>
    <border>
      <left style="thin">
        <color rgb="FFE06666"/>
      </left>
      <right style="thin">
        <color rgb="FFE06666"/>
      </right>
      <top style="thin">
        <color rgb="FFE06666"/>
      </top>
      <bottom style="thin">
        <color rgb="FFE06666"/>
      </bottom>
    </border>
    <border>
      <left style="thin">
        <color rgb="FFE06666"/>
      </left>
      <right style="thin">
        <color rgb="FFE06666"/>
      </right>
      <top style="thin">
        <color rgb="FFE06666"/>
      </top>
    </border>
    <border>
      <left style="thin">
        <color rgb="FF93C47D"/>
      </left>
      <top style="thin">
        <color rgb="FF93C47D"/>
      </top>
    </border>
    <border>
      <top style="thin">
        <color rgb="FF93C47D"/>
      </top>
    </border>
    <border>
      <left style="thin">
        <color rgb="FFE06666"/>
      </left>
      <top style="thin">
        <color rgb="FFE06666"/>
      </top>
      <bottom style="thin">
        <color rgb="FFE06666"/>
      </bottom>
    </border>
    <border>
      <left style="thin">
        <color rgb="FFE06666"/>
      </left>
      <top style="thin">
        <color rgb="FFE06666"/>
      </top>
    </border>
    <border>
      <top style="thin">
        <color rgb="FFE06666"/>
      </top>
    </border>
    <border>
      <right style="thin">
        <color rgb="FFE06666"/>
      </right>
      <top style="thin">
        <color rgb="FFE06666"/>
      </top>
    </border>
    <border>
      <right style="thin">
        <color rgb="FFE06666"/>
      </right>
      <top style="thin">
        <color rgb="FFE06666"/>
      </top>
      <bottom style="thin">
        <color rgb="FFE06666"/>
      </bottom>
    </border>
    <border>
      <left style="thin">
        <color rgb="FF93C47D"/>
      </left>
    </border>
    <border>
      <left style="thin">
        <color rgb="FFE06666"/>
      </left>
    </border>
    <border>
      <right style="thin">
        <color rgb="FFE06666"/>
      </right>
    </border>
    <border>
      <right style="thin">
        <color rgb="FF93C47D"/>
      </right>
      <top style="thin">
        <color rgb="FF93C47D"/>
      </top>
      <bottom style="thin">
        <color rgb="FF93C47D"/>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93C47D"/>
      </left>
      <right style="thin">
        <color rgb="FF93C47D"/>
      </right>
      <top style="thin">
        <color rgb="FF93C47D"/>
      </top>
    </border>
    <border>
      <right style="thin">
        <color rgb="FF93C47D"/>
      </right>
      <top style="thin">
        <color rgb="FF93C47D"/>
      </top>
    </border>
    <border>
      <left style="thin">
        <color rgb="FFE06666"/>
      </left>
      <right style="thin">
        <color rgb="FFE06666"/>
      </right>
    </border>
    <border>
      <left style="thin">
        <color rgb="FF93C47D"/>
      </left>
      <top style="thin">
        <color rgb="FF93C47D"/>
      </top>
      <bottom style="thin">
        <color rgb="FF93C47D"/>
      </bottom>
    </border>
    <border>
      <left style="thick">
        <color rgb="FF000000"/>
      </left>
      <top style="thick">
        <color rgb="FF000000"/>
      </top>
    </border>
    <border>
      <top style="thick">
        <color rgb="FF000000"/>
      </top>
    </border>
    <border>
      <right style="thick">
        <color rgb="FF000000"/>
      </right>
      <top style="thick">
        <color rgb="FF000000"/>
      </top>
    </border>
    <border>
      <right style="thin">
        <color rgb="FF93C47D"/>
      </right>
      <bottom style="thin">
        <color rgb="FF93C47D"/>
      </bottom>
    </border>
    <border>
      <left style="thick">
        <color rgb="FF000000"/>
      </left>
    </border>
    <border>
      <right style="thick">
        <color rgb="FF000000"/>
      </right>
    </border>
    <border>
      <left style="thin">
        <color rgb="FF000000"/>
      </left>
      <right style="thin">
        <color rgb="FFE06666"/>
      </right>
      <top style="thin">
        <color rgb="FF000000"/>
      </top>
      <bottom style="thin">
        <color rgb="FFE06666"/>
      </bottom>
    </border>
    <border>
      <left style="thin">
        <color rgb="FFE06666"/>
      </left>
      <right style="thin">
        <color rgb="FFE06666"/>
      </right>
      <top style="thin">
        <color rgb="FF000000"/>
      </top>
    </border>
    <border>
      <left style="thin">
        <color rgb="FFE06666"/>
      </left>
      <right style="thin">
        <color rgb="FF000000"/>
      </right>
      <top style="thin">
        <color rgb="FF000000"/>
      </top>
      <bottom style="thin">
        <color rgb="FFE06666"/>
      </bottom>
    </border>
    <border>
      <left style="thin">
        <color rgb="FF000000"/>
      </left>
      <top style="thin">
        <color rgb="FFE06666"/>
      </top>
      <bottom style="thin">
        <color rgb="FFE06666"/>
      </bottom>
    </border>
    <border>
      <left style="thin">
        <color rgb="FF000000"/>
      </left>
      <right style="thin">
        <color rgb="FFFFFFFF"/>
      </right>
      <top style="thin">
        <color rgb="FF000000"/>
      </top>
      <bottom style="thin">
        <color rgb="FFFFFFFF"/>
      </bottom>
    </border>
    <border>
      <left style="thin">
        <color rgb="FFFFFFFF"/>
      </left>
      <right style="thin">
        <color rgb="FFFFFFFF"/>
      </right>
      <top style="thin">
        <color rgb="FF000000"/>
      </top>
    </border>
    <border>
      <left style="thin">
        <color rgb="FFFFFFFF"/>
      </left>
      <right style="thin">
        <color rgb="FF000000"/>
      </right>
      <top style="thin">
        <color rgb="FF000000"/>
      </top>
      <bottom style="thin">
        <color rgb="FFFFFFFF"/>
      </bottom>
    </border>
    <border>
      <right style="thin">
        <color rgb="FF000000"/>
      </right>
      <top style="thin">
        <color rgb="FFE06666"/>
      </top>
      <bottom style="thin">
        <color rgb="FFE06666"/>
      </bottom>
    </border>
    <border>
      <left style="thin">
        <color rgb="FF000000"/>
      </left>
      <top style="thin">
        <color rgb="FFFFFFFF"/>
      </top>
      <bottom style="thin">
        <color rgb="FFFFFFFF"/>
      </bottom>
    </border>
    <border>
      <right style="thin">
        <color rgb="FF000000"/>
      </right>
      <top style="thin">
        <color rgb="FFFFFFFF"/>
      </top>
      <bottom style="thin">
        <color rgb="FFFFFFFF"/>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E06666"/>
      </left>
      <bottom style="thin">
        <color rgb="FFFFFFFF"/>
      </bottom>
    </border>
    <border>
      <bottom style="thin">
        <color rgb="FFFFFFFF"/>
      </bottom>
    </border>
    <border>
      <right style="thin">
        <color rgb="FFE06666"/>
      </right>
      <bottom style="thin">
        <color rgb="FFFFFFFF"/>
      </bottom>
    </border>
    <border>
      <left style="thin">
        <color rgb="FFDD7E6B"/>
      </left>
      <top style="thin">
        <color rgb="FFDD7E6B"/>
      </top>
    </border>
    <border>
      <top style="thin">
        <color rgb="FFDD7E6B"/>
      </top>
    </border>
    <border>
      <right style="thin">
        <color rgb="FFDD7E6B"/>
      </right>
      <top style="thin">
        <color rgb="FFDD7E6B"/>
      </top>
    </border>
    <border>
      <left style="thin">
        <color rgb="FFDD7E6B"/>
      </left>
    </border>
    <border>
      <right style="thin">
        <color rgb="FFDD7E6B"/>
      </right>
    </border>
    <border>
      <left style="thin">
        <color rgb="FF93C47D"/>
      </left>
      <bottom style="thin">
        <color rgb="FF93C47D"/>
      </bottom>
    </border>
    <border>
      <left style="thin">
        <color rgb="FF000000"/>
      </left>
      <top style="thin">
        <color rgb="FFE06666"/>
      </top>
    </border>
    <border>
      <right style="thin">
        <color rgb="FF000000"/>
      </right>
      <top style="thin">
        <color rgb="FFE06666"/>
      </top>
    </border>
    <border>
      <left style="thin">
        <color rgb="FF000000"/>
      </left>
      <right style="thin">
        <color rgb="FF000000"/>
      </right>
      <top style="thin">
        <color rgb="FFE06666"/>
      </top>
      <bottom style="thin">
        <color rgb="FFE06666"/>
      </bottom>
    </border>
    <border>
      <left style="thin">
        <color rgb="FFDD7E6B"/>
      </left>
      <bottom style="thin">
        <color rgb="FFDD7E6B"/>
      </bottom>
    </border>
    <border>
      <bottom style="thin">
        <color rgb="FFDD7E6B"/>
      </bottom>
    </border>
    <border>
      <right style="thin">
        <color rgb="FFDD7E6B"/>
      </right>
      <bottom style="thin">
        <color rgb="FFDD7E6B"/>
      </bottom>
    </border>
    <border>
      <left style="thin">
        <color rgb="FF000000"/>
      </left>
      <right style="thin">
        <color rgb="FFFFFFFF"/>
      </right>
      <top style="thin">
        <color rgb="FFFFFFFF"/>
      </top>
      <bottom style="thin">
        <color rgb="FF000000"/>
      </bottom>
    </border>
    <border>
      <left style="thin">
        <color rgb="FFFFFFFF"/>
      </left>
      <right style="thin">
        <color rgb="FFFFFFFF"/>
      </right>
      <bottom style="thin">
        <color rgb="FF000000"/>
      </bottom>
    </border>
    <border>
      <left style="thin">
        <color rgb="FFFFFFFF"/>
      </left>
      <right style="thin">
        <color rgb="FF000000"/>
      </right>
      <top style="thin">
        <color rgb="FFFFFFFF"/>
      </top>
      <bottom style="thin">
        <color rgb="FF000000"/>
      </bottom>
    </border>
    <border>
      <left style="thin">
        <color rgb="FF93C47D"/>
      </left>
      <right style="thin">
        <color rgb="FF93C47D"/>
      </right>
      <bottom style="thin">
        <color rgb="FF93C47D"/>
      </bottom>
    </border>
    <border>
      <left style="thin">
        <color rgb="FF000000"/>
      </left>
      <right style="thin">
        <color rgb="FFE06666"/>
      </right>
      <top style="thin">
        <color rgb="FFE06666"/>
      </top>
      <bottom style="thin">
        <color rgb="FF000000"/>
      </bottom>
    </border>
    <border>
      <left style="thin">
        <color rgb="FFE06666"/>
      </left>
      <right style="thin">
        <color rgb="FFE06666"/>
      </right>
      <top style="thin">
        <color rgb="FF000000"/>
      </top>
      <bottom style="thin">
        <color rgb="FF000000"/>
      </bottom>
    </border>
    <border>
      <left style="thin">
        <color rgb="FFE06666"/>
      </left>
      <right style="thin">
        <color rgb="FF000000"/>
      </right>
      <top style="thin">
        <color rgb="FFE06666"/>
      </top>
      <bottom style="thin">
        <color rgb="FF000000"/>
      </bottom>
    </border>
    <border>
      <top style="thin">
        <color rgb="FF93C47D"/>
      </top>
      <bottom style="thin">
        <color rgb="FF93C47D"/>
      </bottom>
    </border>
    <border>
      <bottom style="thin">
        <color rgb="FF93C47D"/>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93C47D"/>
      </left>
      <right style="thick">
        <color rgb="FF93C47D"/>
      </right>
      <bottom style="thin">
        <color rgb="FF93C47D"/>
      </bottom>
    </border>
    <border>
      <left style="thick">
        <color rgb="FF93C47D"/>
      </left>
      <right style="thin">
        <color rgb="FF93C47D"/>
      </right>
    </border>
    <border>
      <left style="thin">
        <color rgb="FF93C47D"/>
      </left>
      <right style="thin">
        <color rgb="FF93C47D"/>
      </right>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n">
        <color rgb="FF284E3F"/>
      </left>
      <right style="thin">
        <color rgb="FF284E3F"/>
      </right>
      <top style="thin">
        <color rgb="FF284E3F"/>
      </top>
      <bottom style="thin">
        <color rgb="FF284E3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D9D9D9"/>
      </right>
      <top style="thin">
        <color rgb="FFD9D9D9"/>
      </top>
      <bottom style="thin">
        <color rgb="FF284E3F"/>
      </bottom>
    </border>
    <border>
      <left style="thin">
        <color rgb="FF000000"/>
      </left>
      <top style="thin">
        <color rgb="FF000000"/>
      </top>
      <bottom style="thin">
        <color rgb="FF000000"/>
      </bottom>
    </border>
    <border>
      <top style="thin">
        <color rgb="FF000000"/>
      </top>
      <bottom style="thin">
        <color rgb="FF000000"/>
      </bottom>
    </border>
    <border>
      <left style="double">
        <color rgb="FF000000"/>
      </left>
      <top style="double">
        <color rgb="FF000000"/>
      </top>
    </border>
    <border>
      <top style="double">
        <color rgb="FF000000"/>
      </top>
    </border>
    <border>
      <left style="thin">
        <color rgb="FF000000"/>
      </left>
      <top style="double">
        <color rgb="FF000000"/>
      </top>
    </border>
    <border>
      <right style="thin">
        <color rgb="FF000000"/>
      </right>
      <top style="double">
        <color rgb="FF000000"/>
      </top>
    </border>
    <border>
      <right style="double">
        <color rgb="FF000000"/>
      </right>
      <top style="double">
        <color rgb="FF000000"/>
      </top>
    </border>
    <border>
      <left style="double">
        <color rgb="FF000000"/>
      </left>
      <top style="thin">
        <color rgb="FF000000"/>
      </top>
      <bottom style="thin">
        <color rgb="FF000000"/>
      </bottom>
    </border>
    <border>
      <right style="double">
        <color rgb="FF000000"/>
      </right>
      <top style="thin">
        <color rgb="FF000000"/>
      </top>
      <bottom style="thin">
        <color rgb="FF000000"/>
      </bottom>
    </border>
    <border>
      <right style="thick">
        <color rgb="FF000000"/>
      </right>
      <top style="thin">
        <color rgb="FF000000"/>
      </top>
      <bottom style="thin">
        <color rgb="FF000000"/>
      </bottom>
    </border>
    <border>
      <left style="double">
        <color rgb="FF000000"/>
      </left>
    </border>
    <border>
      <right style="thin">
        <color rgb="FF000000"/>
      </right>
    </border>
    <border>
      <right style="double">
        <color rgb="FF000000"/>
      </right>
    </border>
    <border>
      <left style="double">
        <color rgb="FF000000"/>
      </left>
      <bottom style="thin">
        <color rgb="FF000000"/>
      </bottom>
    </border>
    <border>
      <right style="double">
        <color rgb="FF000000"/>
      </right>
      <bottom style="thin">
        <color rgb="FF000000"/>
      </bottom>
    </border>
    <border>
      <left style="double">
        <color rgb="FF000000"/>
      </left>
      <top style="thin">
        <color rgb="FF000000"/>
      </top>
      <bottom style="double">
        <color rgb="FF000000"/>
      </bottom>
    </border>
    <border>
      <right style="thin">
        <color rgb="FF000000"/>
      </right>
      <top style="thin">
        <color rgb="FF000000"/>
      </top>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double">
        <color rgb="FF000000"/>
      </left>
      <bottom style="double">
        <color rgb="FF000000"/>
      </bottom>
    </border>
    <border>
      <right style="thin">
        <color rgb="FF000000"/>
      </right>
      <bottom style="double">
        <color rgb="FF000000"/>
      </bottom>
    </border>
    <border>
      <left style="thin">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top style="thin">
        <color rgb="FF000000"/>
      </top>
    </border>
    <border>
      <right style="double">
        <color rgb="FF000000"/>
      </right>
      <top style="thin">
        <color rgb="FF000000"/>
      </top>
    </border>
    <border>
      <left style="thin">
        <color rgb="FF000000"/>
      </left>
    </border>
    <border>
      <right style="thin">
        <color rgb="FF93C47D"/>
      </right>
    </border>
    <border>
      <left style="thick">
        <color rgb="FF000000"/>
      </left>
      <right style="thick">
        <color rgb="FF000000"/>
      </right>
    </border>
    <border>
      <left style="thick">
        <color rgb="FF000000"/>
      </left>
      <right style="thick">
        <color rgb="FF000000"/>
      </right>
      <top style="thick">
        <color rgb="FF000000"/>
      </top>
      <bottom style="thick">
        <color rgb="FF000000"/>
      </bottom>
    </border>
    <border>
      <left style="double">
        <color rgb="FF000000"/>
      </left>
      <top style="double">
        <color rgb="FF000000"/>
      </top>
      <bottom style="thin">
        <color rgb="FFEFEFEF"/>
      </bottom>
    </border>
    <border>
      <top style="double">
        <color rgb="FF000000"/>
      </top>
      <bottom style="thin">
        <color rgb="FFEFEFEF"/>
      </bottom>
    </border>
    <border>
      <right style="thin">
        <color rgb="FFEFEFEF"/>
      </right>
      <top style="double">
        <color rgb="FF000000"/>
      </top>
      <bottom style="thin">
        <color rgb="FFEFEFEF"/>
      </bottom>
    </border>
    <border>
      <left style="thin">
        <color rgb="FFEFEFEF"/>
      </left>
      <top style="double">
        <color rgb="FF000000"/>
      </top>
      <bottom style="thin">
        <color rgb="FFEFEFEF"/>
      </bottom>
    </border>
    <border>
      <left style="thin">
        <color rgb="FFEFEFEF"/>
      </left>
      <right style="thin">
        <color rgb="FFEFEFEF"/>
      </right>
      <top style="double">
        <color rgb="FF000000"/>
      </top>
      <bottom style="thin">
        <color rgb="FFEFEFEF"/>
      </bottom>
    </border>
    <border>
      <right style="double">
        <color rgb="FF000000"/>
      </right>
      <top style="double">
        <color rgb="FF000000"/>
      </top>
      <bottom style="thin">
        <color rgb="FFEFEFEF"/>
      </bottom>
    </border>
    <border>
      <left style="double">
        <color rgb="FF000000"/>
      </left>
      <top style="thick">
        <color rgb="FF000000"/>
      </top>
      <bottom style="thin">
        <color rgb="FFEFEFEF"/>
      </bottom>
    </border>
    <border>
      <top style="thick">
        <color rgb="FF000000"/>
      </top>
      <bottom style="thin">
        <color rgb="FFEFEFEF"/>
      </bottom>
    </border>
    <border>
      <right style="thick">
        <color rgb="FF000000"/>
      </right>
      <top style="thick">
        <color rgb="FF000000"/>
      </top>
      <bottom style="thin">
        <color rgb="FFEFEFEF"/>
      </bottom>
    </border>
    <border>
      <left style="double">
        <color rgb="FF000000"/>
      </left>
      <top style="thick">
        <color rgb="FF000000"/>
      </top>
      <bottom style="thin">
        <color rgb="FFD9D9D9"/>
      </bottom>
    </border>
    <border>
      <top style="thick">
        <color rgb="FF000000"/>
      </top>
      <bottom style="thin">
        <color rgb="FFD9D9D9"/>
      </bottom>
    </border>
    <border>
      <right style="thick">
        <color rgb="FF000000"/>
      </right>
      <top style="thick">
        <color rgb="FF000000"/>
      </top>
      <bottom style="thin">
        <color rgb="FFD9D9D9"/>
      </bottom>
    </border>
    <border>
      <left style="double">
        <color rgb="FF000000"/>
      </left>
      <top style="thin">
        <color rgb="FFEFEFEF"/>
      </top>
      <bottom style="thin">
        <color rgb="FFEFEFEF"/>
      </bottom>
    </border>
    <border>
      <top style="thin">
        <color rgb="FFEFEFEF"/>
      </top>
      <bottom style="thin">
        <color rgb="FFEFEFEF"/>
      </bottom>
    </border>
    <border>
      <right style="thin">
        <color rgb="FFEFEFEF"/>
      </right>
      <top style="thin">
        <color rgb="FFEFEFEF"/>
      </top>
      <bottom style="thin">
        <color rgb="FFEFEFEF"/>
      </bottom>
    </border>
    <border>
      <left style="thin">
        <color rgb="FFEFEFEF"/>
      </left>
      <top style="thin">
        <color rgb="FFEFEFEF"/>
      </top>
      <bottom style="thin">
        <color rgb="FFEFEFEF"/>
      </bottom>
    </border>
    <border>
      <left style="thin">
        <color rgb="FFEFEFEF"/>
      </left>
      <right style="thin">
        <color rgb="FFEFEFEF"/>
      </right>
      <top style="thin">
        <color rgb="FFEFEFEF"/>
      </top>
      <bottom style="thin">
        <color rgb="FFEFEFEF"/>
      </bottom>
    </border>
    <border>
      <right style="double">
        <color rgb="FF000000"/>
      </right>
      <top style="thin">
        <color rgb="FFEFEFEF"/>
      </top>
      <bottom style="thin">
        <color rgb="FFEFEFEF"/>
      </bottom>
    </border>
    <border>
      <right style="thick">
        <color rgb="FF000000"/>
      </right>
      <top style="thick">
        <color rgb="FF000000"/>
      </top>
      <bottom style="thick">
        <color rgb="FF000000"/>
      </bottom>
    </border>
    <border>
      <left style="double">
        <color rgb="FF000000"/>
      </left>
      <bottom style="thin">
        <color rgb="FFEFEFEF"/>
      </bottom>
    </border>
    <border>
      <bottom style="thin">
        <color rgb="FFEFEFEF"/>
      </bottom>
    </border>
    <border>
      <right style="thick">
        <color rgb="FF000000"/>
      </right>
      <bottom style="thin">
        <color rgb="FFEFEFEF"/>
      </bottom>
    </border>
    <border>
      <right style="thick">
        <color rgb="FF000000"/>
      </right>
      <top style="thin">
        <color rgb="FFEFEFEF"/>
      </top>
      <bottom style="thin">
        <color rgb="FFEFEFEF"/>
      </bottom>
    </border>
    <border>
      <left style="double">
        <color rgb="FF000000"/>
      </left>
      <bottom style="thin">
        <color rgb="FFD9D9D9"/>
      </bottom>
    </border>
    <border>
      <bottom style="thin">
        <color rgb="FFD9D9D9"/>
      </bottom>
    </border>
    <border>
      <right style="thick">
        <color rgb="FF000000"/>
      </right>
      <bottom style="thin">
        <color rgb="FFD9D9D9"/>
      </bottom>
    </border>
    <border>
      <left style="double">
        <color rgb="FF000000"/>
      </left>
      <top style="thin">
        <color rgb="FFD9D9D9"/>
      </top>
      <bottom style="thin">
        <color rgb="FFD9D9D9"/>
      </bottom>
    </border>
    <border>
      <top style="thin">
        <color rgb="FFD9D9D9"/>
      </top>
      <bottom style="thin">
        <color rgb="FFD9D9D9"/>
      </bottom>
    </border>
    <border>
      <right style="thick">
        <color rgb="FF000000"/>
      </right>
      <top style="thin">
        <color rgb="FFD9D9D9"/>
      </top>
      <bottom style="thin">
        <color rgb="FFD9D9D9"/>
      </bottom>
    </border>
    <border>
      <top style="thin">
        <color rgb="FFD9D9D9"/>
      </top>
    </border>
    <border>
      <right style="thick">
        <color rgb="FF000000"/>
      </right>
      <top style="thin">
        <color rgb="FFD9D9D9"/>
      </top>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284E3F"/>
      </left>
    </border>
    <border>
      <left style="thin">
        <color rgb="FF284E3F"/>
      </left>
      <right style="thin">
        <color rgb="FFD9D9D9"/>
      </right>
      <top style="thin">
        <color rgb="FFD9D9D9"/>
      </top>
      <bottom style="thin">
        <color rgb="FFD9D9D9"/>
      </bottom>
    </border>
    <border>
      <left style="thin">
        <color rgb="FF000000"/>
      </left>
      <right style="thin">
        <color rgb="FFD9D9D9"/>
      </right>
      <top style="thin">
        <color rgb="FFD9D9D9"/>
      </top>
    </border>
    <border>
      <right style="thin">
        <color rgb="FFD9D9D9"/>
      </right>
      <top style="thin">
        <color rgb="FFD9D9D9"/>
      </top>
    </border>
    <border>
      <left style="thin">
        <color rgb="FFD9D9D9"/>
      </left>
      <top style="thin">
        <color rgb="FFD9D9D9"/>
      </top>
    </border>
    <border>
      <left style="thin">
        <color rgb="FF284E3F"/>
      </left>
      <right style="thin">
        <color rgb="FFD9D9D9"/>
      </right>
      <top style="thin">
        <color rgb="FFD9D9D9"/>
      </top>
      <bottom style="thin">
        <color rgb="FF284E3F"/>
      </bottom>
    </border>
  </borders>
  <cellStyleXfs count="1">
    <xf borderId="0" fillId="0" fontId="0" numFmtId="0" applyAlignment="1" applyFont="1"/>
  </cellStyleXfs>
  <cellXfs count="367">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ill="1" applyFont="1">
      <alignment vertical="bottom"/>
    </xf>
    <xf borderId="1" fillId="2" fontId="2" numFmtId="0" xfId="0" applyAlignment="1" applyBorder="1" applyFill="1" applyFont="1">
      <alignment vertical="bottom"/>
    </xf>
    <xf borderId="2" fillId="3" fontId="2" numFmtId="0" xfId="0" applyAlignment="1" applyBorder="1" applyFill="1" applyFont="1">
      <alignment vertical="bottom"/>
    </xf>
    <xf borderId="3" fillId="4" fontId="2" numFmtId="0" xfId="0" applyAlignment="1" applyBorder="1" applyFill="1" applyFont="1">
      <alignment vertical="bottom"/>
    </xf>
    <xf borderId="4" fillId="4" fontId="2" numFmtId="0" xfId="0" applyAlignment="1" applyBorder="1" applyFill="1" applyFont="1">
      <alignment vertical="bottom"/>
    </xf>
    <xf borderId="5" fillId="3" fontId="3" numFmtId="0" xfId="0" applyAlignment="1" applyBorder="1" applyFill="1" applyFont="1">
      <alignment horizontal="center" readingOrder="0" vertical="center"/>
    </xf>
    <xf borderId="6" fillId="0" fontId="4" numFmtId="0" xfId="0" applyBorder="1" applyFont="1"/>
    <xf borderId="7" fillId="4" fontId="2" numFmtId="0" xfId="0" applyAlignment="1" applyBorder="1" applyFill="1" applyFont="1">
      <alignment vertical="bottom"/>
    </xf>
    <xf borderId="8" fillId="4" fontId="5" numFmtId="0" xfId="0" applyAlignment="1" applyBorder="1" applyFill="1" applyFont="1">
      <alignment horizontal="center" readingOrder="0" vertical="center"/>
    </xf>
    <xf borderId="9" fillId="0" fontId="4" numFmtId="0" xfId="0" applyBorder="1" applyFont="1"/>
    <xf borderId="10" fillId="0" fontId="4" numFmtId="0" xfId="0" applyBorder="1" applyFont="1"/>
    <xf borderId="11" fillId="4" fontId="2" numFmtId="0" xfId="0" applyAlignment="1" applyBorder="1" applyFill="1" applyFont="1">
      <alignment vertical="bottom"/>
    </xf>
    <xf borderId="12" fillId="0" fontId="4" numFmtId="0" xfId="0" applyBorder="1" applyFont="1"/>
    <xf borderId="13" fillId="0" fontId="4" numFmtId="0" xfId="0" applyBorder="1" applyFont="1"/>
    <xf borderId="14" fillId="0" fontId="4" numFmtId="0" xfId="0" applyBorder="1" applyFont="1"/>
    <xf borderId="15" fillId="3" fontId="2" numFmtId="0" xfId="0" applyAlignment="1" applyBorder="1" applyFill="1" applyFont="1">
      <alignment vertical="bottom"/>
    </xf>
    <xf borderId="16" fillId="5" fontId="6" numFmtId="0" xfId="0" applyAlignment="1" applyBorder="1" applyFill="1" applyFont="1">
      <alignment horizontal="center" readingOrder="0" vertical="center"/>
    </xf>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22" fillId="3" fontId="2" numFmtId="0" xfId="0" applyAlignment="1" applyBorder="1" applyFill="1" applyFont="1">
      <alignment vertical="bottom"/>
    </xf>
    <xf borderId="23" fillId="3" fontId="2" numFmtId="0" xfId="0" applyAlignment="1" applyBorder="1" applyFill="1" applyFont="1">
      <alignment vertical="bottom"/>
    </xf>
    <xf borderId="24" fillId="4" fontId="2" numFmtId="0" xfId="0" applyAlignment="1" applyBorder="1" applyFill="1" applyFont="1">
      <alignment vertical="bottom"/>
    </xf>
    <xf borderId="25" fillId="3" fontId="2" numFmtId="0" xfId="0" applyAlignment="1" applyBorder="1" applyFill="1" applyFont="1">
      <alignment vertical="bottom"/>
    </xf>
    <xf borderId="26" fillId="0" fontId="2" numFmtId="0" xfId="0" applyBorder="1" applyFont="1"/>
    <xf borderId="27" fillId="0" fontId="4" numFmtId="0" xfId="0" applyBorder="1" applyFont="1"/>
    <xf borderId="28" fillId="0" fontId="4" numFmtId="0" xfId="0" applyBorder="1" applyFont="1"/>
    <xf borderId="26" fillId="6" fontId="2" numFmtId="0" xfId="0" applyBorder="1" applyFill="1" applyFont="1"/>
    <xf borderId="26" fillId="7" fontId="2" numFmtId="0" xfId="0" applyBorder="1" applyFill="1" applyFont="1"/>
    <xf borderId="29" fillId="3" fontId="2" numFmtId="0" xfId="0" applyAlignment="1" applyBorder="1" applyFill="1" applyFont="1">
      <alignment textRotation="0" vertical="bottom"/>
    </xf>
    <xf borderId="30" fillId="0" fontId="4" numFmtId="0" xfId="0" applyBorder="1" applyFont="1"/>
    <xf borderId="31" fillId="0" fontId="4" numFmtId="0" xfId="0" applyBorder="1" applyFont="1"/>
    <xf borderId="32" fillId="4" fontId="2" numFmtId="0" xfId="0" applyAlignment="1" applyBorder="1" applyFill="1" applyFont="1">
      <alignment vertical="bottom"/>
    </xf>
    <xf borderId="33" fillId="4" fontId="2" numFmtId="0" xfId="0" applyAlignment="1" applyBorder="1" applyFill="1" applyFont="1">
      <alignment vertical="bottom"/>
    </xf>
    <xf borderId="34" fillId="4" fontId="2" numFmtId="0" xfId="0" applyAlignment="1" applyBorder="1" applyFill="1" applyFont="1">
      <alignment vertical="bottom"/>
    </xf>
    <xf borderId="35" fillId="4" fontId="2" numFmtId="0" xfId="0" applyAlignment="1" applyBorder="1" applyFill="1" applyFont="1">
      <alignment vertical="bottom"/>
    </xf>
    <xf borderId="36" fillId="5" fontId="2" numFmtId="0" xfId="0" applyAlignment="1" applyBorder="1" applyFill="1" applyFont="1">
      <alignment vertical="bottom"/>
    </xf>
    <xf borderId="37" fillId="5" fontId="2" numFmtId="0" xfId="0" applyAlignment="1" applyBorder="1" applyFill="1" applyFont="1">
      <alignment vertical="bottom"/>
    </xf>
    <xf borderId="38" fillId="5" fontId="2" numFmtId="0" xfId="0" applyAlignment="1" applyBorder="1" applyFill="1" applyFont="1">
      <alignment vertical="bottom"/>
    </xf>
    <xf borderId="39" fillId="4" fontId="2" numFmtId="0" xfId="0" applyAlignment="1" applyBorder="1" applyFill="1" applyFont="1">
      <alignment vertical="bottom"/>
    </xf>
    <xf borderId="15" fillId="3" fontId="7" numFmtId="0" xfId="0" applyAlignment="1" applyBorder="1" applyFill="1" applyFont="1">
      <alignment vertical="bottom"/>
    </xf>
    <xf borderId="40" fillId="5" fontId="2" numFmtId="0" xfId="0" applyAlignment="1" applyBorder="1" applyFill="1" applyFont="1">
      <alignment vertical="bottom"/>
    </xf>
    <xf borderId="8" fillId="5" fontId="8" numFmtId="0" xfId="0" applyAlignment="1" applyBorder="1" applyFill="1" applyFont="1">
      <alignment horizontal="center" vertical="center"/>
    </xf>
    <xf borderId="41" fillId="5" fontId="2" numFmtId="0" xfId="0" applyAlignment="1" applyBorder="1" applyFill="1" applyFont="1">
      <alignment vertical="bottom"/>
    </xf>
    <xf borderId="42" fillId="0" fontId="4" numFmtId="0" xfId="0" applyBorder="1" applyFont="1"/>
    <xf borderId="43" fillId="0" fontId="4" numFmtId="0" xfId="0" applyBorder="1" applyFont="1"/>
    <xf borderId="44" fillId="0" fontId="4" numFmtId="0" xfId="0" applyBorder="1" applyFont="1"/>
    <xf borderId="45" fillId="0" fontId="4" numFmtId="0" xfId="0" applyBorder="1" applyFont="1"/>
    <xf borderId="46" fillId="0" fontId="4" numFmtId="0" xfId="0" applyBorder="1" applyFont="1"/>
    <xf borderId="47" fillId="0" fontId="4" numFmtId="0" xfId="0" applyBorder="1" applyFont="1"/>
    <xf borderId="29" fillId="3" fontId="2" numFmtId="0" xfId="0" applyAlignment="1" applyBorder="1" applyFill="1" applyFont="1">
      <alignment vertical="bottom"/>
    </xf>
    <xf borderId="48" fillId="5" fontId="1" numFmtId="0" xfId="0" applyAlignment="1" applyBorder="1" applyFill="1" applyFont="1">
      <alignment readingOrder="0" shrinkToFit="0" vertical="top" wrapText="1"/>
    </xf>
    <xf borderId="49" fillId="0" fontId="4" numFmtId="0" xfId="0" applyBorder="1" applyFont="1"/>
    <xf borderId="50" fillId="0" fontId="4" numFmtId="0" xfId="0" applyBorder="1" applyFont="1"/>
    <xf borderId="51" fillId="0" fontId="4" numFmtId="0" xfId="0" applyBorder="1" applyFont="1"/>
    <xf borderId="52" fillId="0" fontId="4" numFmtId="0" xfId="0" applyBorder="1" applyFont="1"/>
    <xf borderId="30" fillId="7" fontId="2" numFmtId="0" xfId="0" applyBorder="1" applyFill="1" applyFont="1"/>
    <xf borderId="30" fillId="0" fontId="2" numFmtId="0" xfId="0" applyBorder="1" applyFont="1"/>
    <xf borderId="30" fillId="6" fontId="2" numFmtId="0" xfId="0" applyBorder="1" applyFill="1" applyFont="1"/>
    <xf borderId="53" fillId="3" fontId="2" numFmtId="0" xfId="0" applyAlignment="1" applyBorder="1" applyFill="1" applyFont="1">
      <alignment vertical="bottom"/>
    </xf>
    <xf borderId="27" fillId="7" fontId="2" numFmtId="0" xfId="0" applyBorder="1" applyFill="1" applyFont="1"/>
    <xf borderId="27" fillId="6" fontId="2" numFmtId="0" xfId="0" applyBorder="1" applyFill="1" applyFont="1"/>
    <xf borderId="54" fillId="4" fontId="2" numFmtId="0" xfId="0" applyAlignment="1" applyBorder="1" applyFill="1" applyFont="1">
      <alignment vertical="bottom"/>
    </xf>
    <xf borderId="55" fillId="4" fontId="2" numFmtId="0" xfId="0" applyAlignment="1" applyBorder="1" applyFill="1" applyFont="1">
      <alignment vertical="bottom"/>
    </xf>
    <xf borderId="56" fillId="4" fontId="2" numFmtId="0" xfId="0" applyAlignment="1" applyBorder="1" applyFill="1" applyFont="1">
      <alignment vertical="top"/>
    </xf>
    <xf borderId="40" fillId="5" fontId="2" numFmtId="0" xfId="0" applyAlignment="1" applyBorder="1" applyFill="1" applyFont="1">
      <alignment vertical="top"/>
    </xf>
    <xf borderId="41" fillId="5" fontId="2" numFmtId="0" xfId="0" applyAlignment="1" applyBorder="1" applyFill="1" applyFont="1">
      <alignment vertical="top"/>
    </xf>
    <xf borderId="56" fillId="4" fontId="2" numFmtId="0" xfId="0" applyAlignment="1" applyBorder="1" applyFill="1" applyFont="1">
      <alignment vertical="top"/>
    </xf>
    <xf borderId="1" fillId="2" fontId="2" numFmtId="0" xfId="0" applyAlignment="1" applyBorder="1" applyFill="1" applyFont="1">
      <alignment vertical="top"/>
    </xf>
    <xf borderId="5" fillId="3" fontId="2" numFmtId="0" xfId="0" applyAlignment="1" applyBorder="1" applyFill="1" applyFont="1">
      <alignment vertical="bottom"/>
    </xf>
    <xf borderId="26" fillId="8" fontId="2" numFmtId="0" xfId="0" applyBorder="1" applyFill="1" applyFont="1"/>
    <xf borderId="57" fillId="0" fontId="4" numFmtId="0" xfId="0" applyBorder="1" applyFont="1"/>
    <xf borderId="58" fillId="0" fontId="4" numFmtId="0" xfId="0" applyBorder="1" applyFont="1"/>
    <xf borderId="59" fillId="0" fontId="4" numFmtId="0" xfId="0" applyBorder="1" applyFont="1"/>
    <xf borderId="60" fillId="5" fontId="2" numFmtId="0" xfId="0" applyAlignment="1" applyBorder="1" applyFill="1" applyFont="1">
      <alignment vertical="top"/>
    </xf>
    <xf borderId="61" fillId="5" fontId="2" numFmtId="0" xfId="0" applyAlignment="1" applyBorder="1" applyFill="1" applyFont="1">
      <alignment vertical="bottom"/>
    </xf>
    <xf borderId="61" fillId="5" fontId="2" numFmtId="0" xfId="0" applyAlignment="1" applyBorder="1" applyFill="1" applyFont="1">
      <alignment vertical="top"/>
    </xf>
    <xf borderId="62" fillId="5" fontId="2" numFmtId="0" xfId="0" applyAlignment="1" applyBorder="1" applyFill="1" applyFont="1">
      <alignment vertical="top"/>
    </xf>
    <xf borderId="63" fillId="3" fontId="2" numFmtId="0" xfId="0" applyAlignment="1" applyBorder="1" applyFill="1" applyFont="1">
      <alignment vertical="bottom"/>
    </xf>
    <xf borderId="64" fillId="4" fontId="2" numFmtId="0" xfId="0" applyAlignment="1" applyBorder="1" applyFill="1" applyFont="1">
      <alignment vertical="top"/>
    </xf>
    <xf borderId="65" fillId="4" fontId="2" numFmtId="0" xfId="0" applyAlignment="1" applyBorder="1" applyFill="1" applyFont="1">
      <alignment vertical="top"/>
    </xf>
    <xf borderId="65" fillId="4" fontId="2" numFmtId="0" xfId="0" applyAlignment="1" applyBorder="1" applyFill="1" applyFont="1">
      <alignment vertical="bottom"/>
    </xf>
    <xf borderId="65" fillId="4" fontId="2" numFmtId="0" xfId="0" applyAlignment="1" applyBorder="1" applyFill="1" applyFont="1">
      <alignment vertical="top"/>
    </xf>
    <xf borderId="66" fillId="4" fontId="2" numFmtId="0" xfId="0" applyAlignment="1" applyBorder="1" applyFill="1" applyFont="1">
      <alignment vertical="top"/>
    </xf>
    <xf borderId="1" fillId="2" fontId="2" numFmtId="0" xfId="0" applyAlignment="1" applyBorder="1" applyFill="1" applyFont="1">
      <alignment vertical="top"/>
    </xf>
    <xf borderId="1" fillId="2" fontId="2" numFmtId="0" xfId="0" applyAlignment="1" applyBorder="1" applyFill="1" applyFont="1">
      <alignment vertical="bottom"/>
    </xf>
    <xf borderId="25" fillId="3" fontId="5" numFmtId="0" xfId="0" applyAlignment="1" applyBorder="1" applyFill="1" applyFont="1">
      <alignment horizontal="center" readingOrder="0" vertical="center"/>
    </xf>
    <xf borderId="67" fillId="0" fontId="4" numFmtId="0" xfId="0" applyBorder="1" applyFont="1"/>
    <xf borderId="15" fillId="0" fontId="4" numFmtId="0" xfId="0" applyBorder="1" applyFont="1"/>
    <xf borderId="68" fillId="3" fontId="9" numFmtId="0" xfId="0" applyAlignment="1" applyBorder="1" applyFill="1" applyFont="1">
      <alignment horizontal="center" readingOrder="0" vertical="center"/>
    </xf>
    <xf borderId="5" fillId="3" fontId="10" numFmtId="0" xfId="0" applyAlignment="1" applyBorder="1" applyFill="1" applyFont="1">
      <alignment horizontal="center" readingOrder="0" vertical="center"/>
    </xf>
    <xf borderId="26" fillId="0" fontId="2" numFmtId="0" xfId="0" applyAlignment="1" applyBorder="1" applyFont="1">
      <alignment horizontal="center" readingOrder="0" shrinkToFit="0" vertical="center" wrapText="1"/>
    </xf>
    <xf borderId="26" fillId="6" fontId="2" numFmtId="0" xfId="0" applyAlignment="1" applyBorder="1" applyFill="1" applyFont="1">
      <alignment horizontal="center" readingOrder="0" shrinkToFit="0" vertical="center" wrapText="1"/>
    </xf>
    <xf borderId="26" fillId="7" fontId="2" numFmtId="0" xfId="0" applyAlignment="1" applyBorder="1" applyFill="1" applyFont="1">
      <alignment horizontal="center" readingOrder="0" shrinkToFit="0" vertical="center" wrapText="1"/>
    </xf>
    <xf borderId="69" fillId="3" fontId="2" numFmtId="0" xfId="0" applyAlignment="1" applyBorder="1" applyFill="1" applyFont="1">
      <alignment vertical="bottom"/>
    </xf>
    <xf borderId="70" fillId="3" fontId="2" numFmtId="0" xfId="0" applyAlignment="1" applyBorder="1" applyFill="1" applyFont="1">
      <alignment vertical="bottom"/>
    </xf>
    <xf borderId="26" fillId="8" fontId="2" numFmtId="0" xfId="0" applyAlignment="1" applyBorder="1" applyFill="1" applyFont="1">
      <alignment horizontal="center" readingOrder="0" shrinkToFit="0" vertical="center" wrapText="1"/>
    </xf>
    <xf borderId="26" fillId="8" fontId="2" numFmtId="0" xfId="0" applyAlignment="1" applyBorder="1" applyFill="1" applyFont="1">
      <alignment horizontal="center" readingOrder="0" vertical="center"/>
    </xf>
    <xf borderId="0" fillId="2" fontId="11" numFmtId="0" xfId="0" applyFill="1" applyFont="1"/>
    <xf borderId="0" fillId="2" fontId="12" numFmtId="0" xfId="0" applyFill="1" applyFont="1"/>
    <xf borderId="29" fillId="3" fontId="11" numFmtId="0" xfId="0" applyBorder="1" applyFill="1" applyFont="1"/>
    <xf borderId="63" fillId="3" fontId="11" numFmtId="0" xfId="0" applyBorder="1" applyFill="1" applyFont="1"/>
    <xf borderId="71" fillId="3" fontId="11" numFmtId="0" xfId="0" applyBorder="1" applyFill="1" applyFont="1"/>
    <xf borderId="72" fillId="3" fontId="13" numFmtId="0" xfId="0" applyAlignment="1" applyBorder="1" applyFill="1" applyFont="1">
      <alignment horizontal="center" readingOrder="0" vertical="center"/>
    </xf>
    <xf borderId="73" fillId="3" fontId="11" numFmtId="0" xfId="0" applyBorder="1" applyFill="1" applyFont="1"/>
    <xf borderId="53" fillId="3" fontId="11" numFmtId="0" xfId="0" applyBorder="1" applyFill="1" applyFont="1"/>
    <xf borderId="26" fillId="2" fontId="11" numFmtId="0" xfId="0" applyBorder="1" applyFill="1" applyFont="1"/>
    <xf borderId="74" fillId="0" fontId="13" numFmtId="0" xfId="0" applyAlignment="1" applyBorder="1" applyFont="1">
      <alignment horizontal="center" readingOrder="0"/>
    </xf>
    <xf borderId="25" fillId="3" fontId="11" numFmtId="0" xfId="0" applyBorder="1" applyFill="1" applyFont="1"/>
    <xf borderId="30" fillId="2" fontId="11" numFmtId="0" xfId="0" applyBorder="1" applyFill="1" applyFont="1"/>
    <xf borderId="15" fillId="3" fontId="11" numFmtId="0" xfId="0" applyBorder="1" applyFill="1" applyFont="1"/>
    <xf borderId="75" fillId="0" fontId="11" numFmtId="0" xfId="0" applyAlignment="1" applyBorder="1" applyFont="1">
      <alignment horizontal="center" vertical="top"/>
    </xf>
    <xf borderId="74" fillId="0" fontId="13" numFmtId="0" xfId="0" applyAlignment="1" applyBorder="1" applyFont="1">
      <alignment horizontal="center" readingOrder="0" vertical="center"/>
    </xf>
    <xf borderId="75" fillId="0" fontId="11" numFmtId="0" xfId="0" applyAlignment="1" applyBorder="1" applyFont="1">
      <alignment horizontal="center" shrinkToFit="0" vertical="top" wrapText="0"/>
    </xf>
    <xf borderId="0" fillId="2" fontId="13" numFmtId="0" xfId="0" applyAlignment="1" applyFill="1" applyFont="1">
      <alignment horizontal="center" readingOrder="0"/>
    </xf>
    <xf borderId="67" fillId="3" fontId="13" numFmtId="0" xfId="0" applyAlignment="1" applyBorder="1" applyFill="1" applyFont="1">
      <alignment horizontal="center" readingOrder="0" vertical="center"/>
    </xf>
    <xf borderId="28" fillId="0" fontId="13" numFmtId="0" xfId="0" applyAlignment="1" applyBorder="1" applyFont="1">
      <alignment horizontal="center" readingOrder="0" vertical="center"/>
    </xf>
    <xf borderId="67" fillId="3" fontId="11" numFmtId="0" xfId="0" applyAlignment="1" applyBorder="1" applyFill="1" applyFont="1">
      <alignment horizontal="center" vertical="center"/>
    </xf>
    <xf borderId="2" fillId="3" fontId="11" numFmtId="0" xfId="0" applyBorder="1" applyFill="1" applyFont="1"/>
    <xf borderId="63" fillId="3" fontId="11" numFmtId="0" xfId="0" applyAlignment="1" applyBorder="1" applyFill="1" applyFont="1">
      <alignment horizontal="center" vertical="center"/>
    </xf>
    <xf borderId="22" fillId="3" fontId="13" numFmtId="0" xfId="0" applyAlignment="1" applyBorder="1" applyFill="1" applyFont="1">
      <alignment horizontal="center" readingOrder="0" vertical="center"/>
    </xf>
    <xf borderId="67" fillId="3" fontId="11" numFmtId="0" xfId="0" applyBorder="1" applyFill="1" applyFont="1"/>
    <xf borderId="6" fillId="3" fontId="11" numFmtId="0" xfId="0" applyBorder="1" applyFill="1" applyFont="1"/>
    <xf borderId="23" fillId="3" fontId="11" numFmtId="0" xfId="0" applyBorder="1" applyFill="1" applyFont="1"/>
    <xf borderId="73" fillId="3" fontId="11" numFmtId="0" xfId="0" applyAlignment="1" applyBorder="1" applyFill="1" applyFont="1">
      <alignment horizontal="center" vertical="center"/>
    </xf>
    <xf borderId="5" fillId="3" fontId="11" numFmtId="0" xfId="0" applyBorder="1" applyFill="1" applyFont="1"/>
    <xf borderId="27" fillId="2" fontId="11" numFmtId="0" xfId="0" applyBorder="1" applyFill="1" applyFont="1"/>
    <xf borderId="0" fillId="0" fontId="13" numFmtId="0" xfId="0" applyAlignment="1" applyFont="1">
      <alignment readingOrder="0"/>
    </xf>
    <xf borderId="0" fillId="9" fontId="13" numFmtId="0" xfId="0" applyAlignment="1" applyFill="1" applyFont="1">
      <alignment horizontal="center" readingOrder="0" vertical="center"/>
    </xf>
    <xf borderId="0" fillId="0" fontId="13" numFmtId="0" xfId="0" applyAlignment="1" applyFont="1">
      <alignment horizontal="center" readingOrder="0"/>
    </xf>
    <xf borderId="0" fillId="0" fontId="13" numFmtId="0" xfId="0" applyAlignment="1" applyFont="1">
      <alignment horizontal="left" readingOrder="0" shrinkToFit="0" vertical="center" wrapText="0"/>
    </xf>
    <xf borderId="0" fillId="0" fontId="13" numFmtId="0" xfId="0" applyAlignment="1" applyFont="1">
      <alignment horizontal="center" readingOrder="0" shrinkToFit="0" vertical="center" wrapText="0"/>
    </xf>
    <xf borderId="0" fillId="0" fontId="13" numFmtId="49" xfId="0" applyAlignment="1" applyFont="1" applyNumberFormat="1">
      <alignment horizontal="center" readingOrder="0" shrinkToFit="0" vertical="center" wrapText="0"/>
    </xf>
    <xf borderId="76" fillId="10" fontId="14" numFmtId="49" xfId="0" applyAlignment="1" applyBorder="1" applyFill="1" applyFont="1" applyNumberFormat="1">
      <alignment horizontal="center" readingOrder="0" shrinkToFit="0" vertical="center" wrapText="0"/>
    </xf>
    <xf borderId="0" fillId="0" fontId="15" numFmtId="0" xfId="0" applyAlignment="1" applyFont="1">
      <alignment shrinkToFit="0" vertical="bottom" wrapText="0"/>
    </xf>
    <xf borderId="0" fillId="5" fontId="11" numFmtId="0" xfId="0" applyAlignment="1" applyFill="1" applyFont="1">
      <alignment horizontal="center" readingOrder="0" shrinkToFit="0" vertical="center" wrapText="0"/>
    </xf>
    <xf borderId="77" fillId="5" fontId="2" numFmtId="164" xfId="0" applyAlignment="1" applyBorder="1" applyFill="1" applyFont="1" applyNumberFormat="1">
      <alignment shrinkToFit="0" vertical="center" wrapText="0"/>
    </xf>
    <xf borderId="0" fillId="5" fontId="11" numFmtId="164" xfId="0" applyAlignment="1" applyFill="1" applyFont="1" applyNumberFormat="1">
      <alignment horizontal="center" readingOrder="0" shrinkToFit="0" vertical="center" wrapText="0"/>
    </xf>
    <xf borderId="0" fillId="5" fontId="11" numFmtId="0" xfId="0" applyAlignment="1" applyFill="1" applyFont="1">
      <alignment horizontal="center" readingOrder="0" shrinkToFit="0" vertical="center" wrapText="0"/>
    </xf>
    <xf borderId="77" fillId="5" fontId="2" numFmtId="165" xfId="0" applyAlignment="1" applyBorder="1" applyFill="1" applyFont="1" applyNumberFormat="1">
      <alignment horizontal="center" shrinkToFit="0" vertical="center" wrapText="0"/>
    </xf>
    <xf borderId="0" fillId="0" fontId="11" numFmtId="0" xfId="0" applyAlignment="1" applyFont="1">
      <alignment horizontal="center" readingOrder="0" shrinkToFit="0" vertical="center" wrapText="0"/>
    </xf>
    <xf borderId="0" fillId="0" fontId="11" numFmtId="0" xfId="0" applyAlignment="1" applyFont="1">
      <alignment horizontal="center" shrinkToFit="0" vertical="center" wrapText="0"/>
    </xf>
    <xf borderId="0" fillId="0" fontId="11" numFmtId="0" xfId="0" applyAlignment="1" applyFont="1">
      <alignment shrinkToFit="0" vertical="center" wrapText="0"/>
    </xf>
    <xf borderId="77" fillId="5" fontId="16" numFmtId="165" xfId="0" applyAlignment="1" applyBorder="1" applyFill="1" applyFont="1" applyNumberFormat="1">
      <alignment horizontal="center" shrinkToFit="0" vertical="center" wrapText="0"/>
    </xf>
    <xf borderId="0" fillId="5" fontId="11" numFmtId="0" xfId="0" applyAlignment="1" applyFill="1" applyFont="1">
      <alignment horizontal="center" shrinkToFit="0" vertical="center" wrapText="0"/>
    </xf>
    <xf borderId="77" fillId="5" fontId="2" numFmtId="164" xfId="0" applyAlignment="1" applyBorder="1" applyFill="1" applyFont="1" applyNumberFormat="1">
      <alignment readingOrder="0" shrinkToFit="0" vertical="center" wrapText="0"/>
    </xf>
    <xf borderId="77" fillId="5" fontId="17" numFmtId="0" xfId="0" applyAlignment="1" applyBorder="1" applyFill="1" applyFont="1">
      <alignment horizontal="center" readingOrder="0" shrinkToFit="0" vertical="center" wrapText="0"/>
    </xf>
    <xf borderId="0" fillId="0" fontId="15" numFmtId="0" xfId="0" applyAlignment="1" applyFont="1">
      <alignment readingOrder="0" shrinkToFit="0" vertical="bottom" wrapText="0"/>
    </xf>
    <xf borderId="0" fillId="5" fontId="11" numFmtId="0" xfId="0" applyAlignment="1" applyFill="1" applyFont="1">
      <alignment horizontal="center" readingOrder="0" shrinkToFit="0" vertical="center" wrapText="0"/>
    </xf>
    <xf borderId="0" fillId="0" fontId="11" numFmtId="0" xfId="0" applyAlignment="1" applyFont="1">
      <alignment readingOrder="0" shrinkToFit="0" vertical="center" wrapText="0"/>
    </xf>
    <xf borderId="78" fillId="5" fontId="2" numFmtId="164" xfId="0" applyAlignment="1" applyBorder="1" applyFill="1" applyFont="1" applyNumberFormat="1">
      <alignment shrinkToFit="0" vertical="center" wrapText="0"/>
    </xf>
    <xf borderId="79" fillId="5" fontId="16" numFmtId="165" xfId="0" applyAlignment="1" applyBorder="1" applyFill="1" applyFont="1" applyNumberFormat="1">
      <alignment horizontal="center" shrinkToFit="0" vertical="center" wrapText="0"/>
    </xf>
    <xf borderId="0" fillId="5" fontId="18" numFmtId="0" xfId="0" applyAlignment="1" applyFill="1" applyFont="1">
      <alignment readingOrder="0" shrinkToFit="0" wrapText="0"/>
    </xf>
    <xf borderId="17" fillId="0" fontId="11" numFmtId="0" xfId="0" applyBorder="1" applyFont="1"/>
    <xf borderId="80" fillId="9" fontId="2" numFmtId="0" xfId="0" applyAlignment="1" applyBorder="1" applyFill="1" applyFont="1">
      <alignment horizontal="center" vertical="bottom"/>
    </xf>
    <xf borderId="20" fillId="0" fontId="2" numFmtId="0" xfId="0" applyAlignment="1" applyBorder="1" applyFont="1">
      <alignment vertical="bottom"/>
    </xf>
    <xf borderId="81" fillId="9" fontId="8" numFmtId="0" xfId="0" applyAlignment="1" applyBorder="1" applyFill="1" applyFont="1">
      <alignment horizontal="center" vertical="bottom"/>
    </xf>
    <xf borderId="81" fillId="0" fontId="4" numFmtId="0" xfId="0" applyBorder="1" applyFont="1"/>
    <xf borderId="82" fillId="6" fontId="19" numFmtId="0" xfId="0" applyAlignment="1" applyBorder="1" applyFill="1" applyFont="1">
      <alignment horizontal="center" shrinkToFit="0" vertical="top" wrapText="1"/>
    </xf>
    <xf borderId="83" fillId="0" fontId="4" numFmtId="0" xfId="0" applyBorder="1" applyFont="1"/>
    <xf borderId="84" fillId="6" fontId="19" numFmtId="0" xfId="0" applyAlignment="1" applyBorder="1" applyFill="1" applyFont="1">
      <alignment horizontal="center" shrinkToFit="0" vertical="top" wrapText="1"/>
    </xf>
    <xf borderId="83" fillId="6" fontId="19" numFmtId="0" xfId="0" applyAlignment="1" applyBorder="1" applyFill="1" applyFont="1">
      <alignment horizontal="center" shrinkToFit="0" vertical="top" wrapText="1"/>
    </xf>
    <xf borderId="82" fillId="11" fontId="19" numFmtId="0" xfId="0" applyAlignment="1" applyBorder="1" applyFill="1" applyFont="1">
      <alignment horizontal="center" shrinkToFit="0" vertical="top" wrapText="1"/>
    </xf>
    <xf borderId="85" fillId="0" fontId="4" numFmtId="0" xfId="0" applyBorder="1" applyFont="1"/>
    <xf borderId="83" fillId="11" fontId="19" numFmtId="0" xfId="0" applyAlignment="1" applyBorder="1" applyFill="1" applyFont="1">
      <alignment horizontal="center" shrinkToFit="0" vertical="top" wrapText="1"/>
    </xf>
    <xf borderId="86" fillId="11" fontId="19" numFmtId="0" xfId="0" applyAlignment="1" applyBorder="1" applyFill="1" applyFont="1">
      <alignment horizontal="center" shrinkToFit="0" vertical="top" wrapText="1"/>
    </xf>
    <xf borderId="82" fillId="7" fontId="19" numFmtId="0" xfId="0" applyAlignment="1" applyBorder="1" applyFill="1" applyFont="1">
      <alignment horizontal="center" shrinkToFit="0" vertical="top" wrapText="1"/>
    </xf>
    <xf borderId="84" fillId="7" fontId="19" numFmtId="0" xfId="0" applyAlignment="1" applyBorder="1" applyFill="1" applyFont="1">
      <alignment horizontal="center" shrinkToFit="0" vertical="top" wrapText="1"/>
    </xf>
    <xf borderId="83" fillId="7" fontId="19" numFmtId="0" xfId="0" applyAlignment="1" applyBorder="1" applyFill="1" applyFont="1">
      <alignment horizontal="center" shrinkToFit="0" vertical="top" wrapText="1"/>
    </xf>
    <xf borderId="86" fillId="7" fontId="19" numFmtId="0" xfId="0" applyAlignment="1" applyBorder="1" applyFill="1" applyFont="1">
      <alignment horizontal="center" shrinkToFit="0" vertical="top" wrapText="1"/>
    </xf>
    <xf borderId="87" fillId="0" fontId="20" numFmtId="0" xfId="0" applyAlignment="1" applyBorder="1" applyFont="1">
      <alignment horizontal="center" shrinkToFit="0" vertical="bottom" wrapText="1"/>
    </xf>
    <xf borderId="69" fillId="0" fontId="4" numFmtId="0" xfId="0" applyBorder="1" applyFont="1"/>
    <xf borderId="80" fillId="0" fontId="20" numFmtId="0" xfId="0" applyAlignment="1" applyBorder="1" applyFont="1">
      <alignment horizontal="center" shrinkToFit="0" vertical="bottom" wrapText="1"/>
    </xf>
    <xf borderId="88" fillId="0" fontId="4" numFmtId="0" xfId="0" applyBorder="1" applyFont="1"/>
    <xf borderId="81" fillId="0" fontId="20" numFmtId="0" xfId="0" applyAlignment="1" applyBorder="1" applyFont="1">
      <alignment horizontal="center" shrinkToFit="0" vertical="bottom" wrapText="1"/>
    </xf>
    <xf borderId="89" fillId="0" fontId="4" numFmtId="0" xfId="0" applyBorder="1" applyFont="1"/>
    <xf borderId="90" fillId="0" fontId="20" numFmtId="0" xfId="0" applyAlignment="1" applyBorder="1" applyFont="1">
      <alignment shrinkToFit="0" vertical="bottom" wrapText="1"/>
    </xf>
    <xf borderId="91" fillId="0" fontId="20" numFmtId="0" xfId="0" applyAlignment="1" applyBorder="1" applyFont="1">
      <alignment horizontal="center" shrinkToFit="0" vertical="bottom" wrapText="1"/>
    </xf>
    <xf borderId="0" fillId="0" fontId="20" numFmtId="0" xfId="0" applyAlignment="1" applyFont="1">
      <alignment horizontal="center" shrinkToFit="0" vertical="bottom" wrapText="1"/>
    </xf>
    <xf borderId="91" fillId="0" fontId="4" numFmtId="0" xfId="0" applyBorder="1" applyFont="1"/>
    <xf borderId="92" fillId="0" fontId="4" numFmtId="0" xfId="0" applyBorder="1" applyFont="1"/>
    <xf borderId="0" fillId="0" fontId="20" numFmtId="0" xfId="0" applyAlignment="1" applyFont="1">
      <alignment shrinkToFit="0" vertical="bottom" wrapText="1"/>
    </xf>
    <xf borderId="90" fillId="0" fontId="20" numFmtId="0" xfId="0" applyAlignment="1" applyBorder="1" applyFont="1">
      <alignment vertical="bottom"/>
    </xf>
    <xf borderId="0" fillId="0" fontId="20" numFmtId="166" xfId="0" applyAlignment="1" applyFont="1" applyNumberFormat="1">
      <alignment horizontal="center" shrinkToFit="0" vertical="bottom" wrapText="1"/>
    </xf>
    <xf borderId="90" fillId="12" fontId="20" numFmtId="0" xfId="0" applyAlignment="1" applyBorder="1" applyFill="1" applyFont="1">
      <alignment shrinkToFit="0" vertical="bottom" wrapText="1"/>
    </xf>
    <xf borderId="91" fillId="12" fontId="20" numFmtId="0" xfId="0" applyAlignment="1" applyBorder="1" applyFill="1" applyFont="1">
      <alignment horizontal="center" shrinkToFit="0" vertical="bottom" wrapText="1"/>
    </xf>
    <xf borderId="0" fillId="12" fontId="20" numFmtId="167" xfId="0" applyAlignment="1" applyFill="1" applyFont="1" applyNumberFormat="1">
      <alignment horizontal="center" shrinkToFit="0" vertical="bottom" wrapText="1"/>
    </xf>
    <xf borderId="0" fillId="12" fontId="20" numFmtId="0" xfId="0" applyAlignment="1" applyFill="1" applyFont="1">
      <alignment horizontal="center" shrinkToFit="0" vertical="bottom" wrapText="1"/>
    </xf>
    <xf borderId="93" fillId="12" fontId="20" numFmtId="0" xfId="0" applyAlignment="1" applyBorder="1" applyFill="1" applyFont="1">
      <alignment shrinkToFit="0" vertical="bottom" wrapText="1"/>
    </xf>
    <xf borderId="21" fillId="12" fontId="20" numFmtId="0" xfId="0" applyAlignment="1" applyBorder="1" applyFill="1" applyFont="1">
      <alignment horizontal="center" shrinkToFit="0" vertical="bottom" wrapText="1"/>
    </xf>
    <xf borderId="20" fillId="12" fontId="20" numFmtId="167" xfId="0" applyAlignment="1" applyBorder="1" applyFill="1" applyFont="1" applyNumberFormat="1">
      <alignment horizontal="center" shrinkToFit="0" vertical="bottom" wrapText="1"/>
    </xf>
    <xf borderId="20" fillId="12" fontId="20" numFmtId="0" xfId="0" applyAlignment="1" applyBorder="1" applyFill="1" applyFont="1">
      <alignment horizontal="center" shrinkToFit="0" vertical="bottom" wrapText="1"/>
    </xf>
    <xf borderId="94" fillId="0" fontId="4" numFmtId="0" xfId="0" applyBorder="1" applyFont="1"/>
    <xf borderId="95" fillId="0" fontId="20" numFmtId="0" xfId="0" applyAlignment="1" applyBorder="1" applyFont="1">
      <alignment horizontal="center" shrinkToFit="0" vertical="bottom" wrapText="1"/>
    </xf>
    <xf borderId="96" fillId="0" fontId="4" numFmtId="0" xfId="0" applyBorder="1" applyFont="1"/>
    <xf borderId="97" fillId="0" fontId="20" numFmtId="1" xfId="0" applyAlignment="1" applyBorder="1" applyFont="1" applyNumberFormat="1">
      <alignment horizontal="center" shrinkToFit="0" vertical="bottom" wrapText="1"/>
    </xf>
    <xf borderId="98" fillId="0" fontId="4" numFmtId="0" xfId="0" applyBorder="1" applyFont="1"/>
    <xf borderId="97" fillId="0" fontId="20" numFmtId="0" xfId="0" applyAlignment="1" applyBorder="1" applyFont="1">
      <alignment horizontal="center" shrinkToFit="0" vertical="bottom" wrapText="1"/>
    </xf>
    <xf borderId="97" fillId="0" fontId="20" numFmtId="164" xfId="0" applyAlignment="1" applyBorder="1" applyFont="1" applyNumberFormat="1">
      <alignment horizontal="center" shrinkToFit="0" vertical="bottom" wrapText="1"/>
    </xf>
    <xf borderId="99" fillId="0" fontId="4" numFmtId="0" xfId="0" applyBorder="1" applyFont="1"/>
    <xf borderId="100" fillId="0" fontId="20" numFmtId="0" xfId="0" applyAlignment="1" applyBorder="1" applyFont="1">
      <alignment horizontal="center" shrinkToFit="0" vertical="bottom" wrapText="1"/>
    </xf>
    <xf borderId="101" fillId="0" fontId="4" numFmtId="0" xfId="0" applyBorder="1" applyFont="1"/>
    <xf borderId="102" fillId="0" fontId="20" numFmtId="1" xfId="0" applyAlignment="1" applyBorder="1" applyFont="1" applyNumberFormat="1">
      <alignment horizontal="center" shrinkToFit="0" vertical="bottom" wrapText="1"/>
    </xf>
    <xf borderId="103" fillId="0" fontId="4" numFmtId="0" xfId="0" applyBorder="1" applyFont="1"/>
    <xf borderId="102" fillId="0" fontId="20" numFmtId="0" xfId="0" applyAlignment="1" applyBorder="1" applyFont="1">
      <alignment horizontal="center" shrinkToFit="0" vertical="bottom" wrapText="1"/>
    </xf>
    <xf borderId="102" fillId="0" fontId="20" numFmtId="164" xfId="0" applyAlignment="1" applyBorder="1" applyFont="1" applyNumberFormat="1">
      <alignment horizontal="center" shrinkToFit="0" vertical="bottom" wrapText="1"/>
    </xf>
    <xf borderId="104" fillId="0" fontId="4" numFmtId="0" xfId="0" applyBorder="1" applyFont="1"/>
    <xf borderId="0" fillId="12" fontId="20" numFmtId="0" xfId="0" applyAlignment="1" applyFill="1" applyFont="1">
      <alignment shrinkToFit="0" vertical="bottom" wrapText="1"/>
    </xf>
    <xf borderId="0" fillId="0" fontId="20" numFmtId="0" xfId="0" applyAlignment="1" applyFont="1">
      <alignment vertical="bottom"/>
    </xf>
    <xf borderId="86" fillId="6" fontId="19" numFmtId="0" xfId="0" applyAlignment="1" applyBorder="1" applyFill="1" applyFont="1">
      <alignment horizontal="center" shrinkToFit="0" vertical="top" wrapText="1"/>
    </xf>
    <xf borderId="0" fillId="0" fontId="20" numFmtId="167" xfId="0" applyAlignment="1" applyFont="1" applyNumberFormat="1">
      <alignment horizontal="center" shrinkToFit="0" vertical="bottom" wrapText="1"/>
    </xf>
    <xf borderId="91" fillId="0" fontId="20" numFmtId="0" xfId="0" applyAlignment="1" applyBorder="1" applyFont="1">
      <alignment horizontal="center" vertical="bottom"/>
    </xf>
    <xf borderId="90" fillId="0" fontId="20" numFmtId="0" xfId="0" applyAlignment="1" applyBorder="1" applyFont="1">
      <alignment readingOrder="0" shrinkToFit="0" vertical="bottom" wrapText="1"/>
    </xf>
    <xf borderId="91" fillId="0" fontId="20" numFmtId="0" xfId="0" applyAlignment="1" applyBorder="1" applyFont="1">
      <alignment horizontal="right" shrinkToFit="0" vertical="bottom" wrapText="1"/>
    </xf>
    <xf borderId="80" fillId="0" fontId="20" numFmtId="1" xfId="0" applyAlignment="1" applyBorder="1" applyFont="1" applyNumberFormat="1">
      <alignment horizontal="center" shrinkToFit="0" vertical="bottom" wrapText="1"/>
    </xf>
    <xf borderId="80" fillId="0" fontId="20" numFmtId="164" xfId="0" applyAlignment="1" applyBorder="1" applyFont="1" applyNumberFormat="1">
      <alignment horizontal="center" shrinkToFit="0" vertical="bottom" wrapText="1"/>
    </xf>
    <xf borderId="105" fillId="0" fontId="20" numFmtId="0" xfId="0" applyAlignment="1" applyBorder="1" applyFont="1">
      <alignment horizontal="center" shrinkToFit="0" vertical="bottom" wrapText="1"/>
    </xf>
    <xf borderId="16" fillId="0" fontId="20" numFmtId="1" xfId="0" applyAlignment="1" applyBorder="1" applyFont="1" applyNumberFormat="1">
      <alignment horizontal="center" shrinkToFit="0" vertical="bottom" wrapText="1"/>
    </xf>
    <xf borderId="16" fillId="0" fontId="20" numFmtId="0" xfId="0" applyAlignment="1" applyBorder="1" applyFont="1">
      <alignment horizontal="center" vertical="bottom"/>
    </xf>
    <xf borderId="16" fillId="0" fontId="20" numFmtId="164" xfId="0" applyAlignment="1" applyBorder="1" applyFont="1" applyNumberFormat="1">
      <alignment horizontal="center" shrinkToFit="0" vertical="bottom" wrapText="1"/>
    </xf>
    <xf borderId="106" fillId="0" fontId="4" numFmtId="0" xfId="0" applyBorder="1" applyFont="1"/>
    <xf borderId="97" fillId="0" fontId="20" numFmtId="1" xfId="0" applyAlignment="1" applyBorder="1" applyFont="1" applyNumberFormat="1">
      <alignment horizontal="center" vertical="bottom"/>
    </xf>
    <xf borderId="97" fillId="0" fontId="20" numFmtId="0" xfId="0" applyAlignment="1" applyBorder="1" applyFont="1">
      <alignment horizontal="center" vertical="bottom"/>
    </xf>
    <xf borderId="91" fillId="12" fontId="20" numFmtId="0" xfId="0" applyAlignment="1" applyBorder="1" applyFill="1" applyFont="1">
      <alignment horizontal="right" shrinkToFit="0" vertical="bottom" wrapText="1"/>
    </xf>
    <xf borderId="98" fillId="0" fontId="20" numFmtId="164" xfId="0" applyAlignment="1" applyBorder="1" applyFont="1" applyNumberFormat="1">
      <alignment horizontal="center" shrinkToFit="0" vertical="bottom" wrapText="1"/>
    </xf>
    <xf borderId="0" fillId="0" fontId="20" numFmtId="49" xfId="0" applyAlignment="1" applyFont="1" applyNumberFormat="1">
      <alignment horizontal="center" shrinkToFit="0" vertical="bottom" wrapText="1"/>
    </xf>
    <xf borderId="0" fillId="12" fontId="20" numFmtId="49" xfId="0" applyAlignment="1" applyFill="1" applyFont="1" applyNumberFormat="1">
      <alignment horizontal="center" shrinkToFit="0" vertical="bottom" wrapText="1"/>
    </xf>
    <xf borderId="16" fillId="0" fontId="20" numFmtId="0" xfId="0" applyAlignment="1" applyBorder="1" applyFont="1">
      <alignment horizontal="center" shrinkToFit="0" vertical="bottom" wrapText="1"/>
    </xf>
    <xf borderId="90" fillId="12" fontId="20" numFmtId="0" xfId="0" applyAlignment="1" applyBorder="1" applyFill="1" applyFont="1">
      <alignment vertical="bottom"/>
    </xf>
    <xf borderId="97" fillId="0" fontId="2" numFmtId="164" xfId="0" applyAlignment="1" applyBorder="1" applyFont="1" applyNumberFormat="1">
      <alignment vertical="bottom"/>
    </xf>
    <xf borderId="107" fillId="0" fontId="20" numFmtId="0" xfId="0" applyAlignment="1" applyBorder="1" applyFont="1">
      <alignment horizontal="center" shrinkToFit="0" vertical="bottom" wrapText="1"/>
    </xf>
    <xf borderId="91" fillId="12" fontId="20" numFmtId="0" xfId="0" applyAlignment="1" applyBorder="1" applyFill="1" applyFont="1">
      <alignment horizontal="center" vertical="bottom"/>
    </xf>
    <xf borderId="107" fillId="0" fontId="20" numFmtId="167" xfId="0" applyAlignment="1" applyBorder="1" applyFont="1" applyNumberFormat="1">
      <alignment horizontal="center" shrinkToFit="0" vertical="bottom" wrapText="1"/>
    </xf>
    <xf borderId="107" fillId="12" fontId="20" numFmtId="167" xfId="0" applyAlignment="1" applyBorder="1" applyFill="1" applyFont="1" applyNumberFormat="1">
      <alignment horizontal="center" shrinkToFit="0" vertical="bottom" wrapText="1"/>
    </xf>
    <xf borderId="107" fillId="12" fontId="20" numFmtId="0" xfId="0" applyAlignment="1" applyBorder="1" applyFill="1" applyFont="1">
      <alignment horizontal="center" shrinkToFit="0" vertical="bottom" wrapText="1"/>
    </xf>
    <xf borderId="98" fillId="0" fontId="20" numFmtId="0" xfId="0" applyAlignment="1" applyBorder="1" applyFont="1">
      <alignment horizontal="center" shrinkToFit="0" vertical="bottom" wrapText="1"/>
    </xf>
    <xf borderId="91" fillId="12" fontId="20" numFmtId="0" xfId="0" applyAlignment="1" applyBorder="1" applyFill="1" applyFont="1">
      <alignment horizontal="center" shrinkToFit="0" wrapText="1"/>
    </xf>
    <xf borderId="84" fillId="11" fontId="19" numFmtId="0" xfId="0" applyAlignment="1" applyBorder="1" applyFill="1" applyFont="1">
      <alignment horizontal="center" shrinkToFit="0" vertical="top" wrapText="1"/>
    </xf>
    <xf borderId="73" fillId="3" fontId="2" numFmtId="0" xfId="0" applyAlignment="1" applyBorder="1" applyFill="1" applyFont="1">
      <alignment vertical="bottom"/>
    </xf>
    <xf borderId="108" fillId="3" fontId="2" numFmtId="0" xfId="0" applyAlignment="1" applyBorder="1" applyFill="1" applyFont="1">
      <alignment vertical="bottom"/>
    </xf>
    <xf borderId="12" fillId="3" fontId="2" numFmtId="0" xfId="0" applyAlignment="1" applyBorder="1" applyFill="1" applyFont="1">
      <alignment vertical="bottom"/>
    </xf>
    <xf borderId="82" fillId="13" fontId="19" numFmtId="0" xfId="0" applyAlignment="1" applyBorder="1" applyFill="1" applyFont="1">
      <alignment horizontal="center" shrinkToFit="0" vertical="top" wrapText="1"/>
    </xf>
    <xf borderId="84" fillId="13" fontId="19" numFmtId="0" xfId="0" applyAlignment="1" applyBorder="1" applyFill="1" applyFont="1">
      <alignment horizontal="center" shrinkToFit="0" vertical="top" wrapText="1"/>
    </xf>
    <xf borderId="86" fillId="0" fontId="4" numFmtId="0" xfId="0" applyBorder="1" applyFont="1"/>
    <xf borderId="95" fillId="0" fontId="20" numFmtId="164" xfId="0" applyAlignment="1" applyBorder="1" applyFont="1" applyNumberFormat="1">
      <alignment horizontal="center" shrinkToFit="0" vertical="bottom" wrapText="1"/>
    </xf>
    <xf borderId="108" fillId="0" fontId="4" numFmtId="0" xfId="0" applyBorder="1" applyFont="1"/>
    <xf borderId="109" fillId="2" fontId="2" numFmtId="0" xfId="0" applyAlignment="1" applyBorder="1" applyFill="1" applyFont="1">
      <alignment vertical="bottom"/>
    </xf>
    <xf borderId="75" fillId="2" fontId="2" numFmtId="0" xfId="0" applyAlignment="1" applyBorder="1" applyFill="1" applyFont="1">
      <alignment vertical="bottom"/>
    </xf>
    <xf borderId="110" fillId="2" fontId="2" numFmtId="0" xfId="0" applyAlignment="1" applyBorder="1" applyFill="1" applyFont="1">
      <alignment vertical="bottom"/>
    </xf>
    <xf borderId="111" fillId="3" fontId="8" numFmtId="0" xfId="0" applyAlignment="1" applyBorder="1" applyFill="1" applyFont="1">
      <alignment readingOrder="0" vertical="center"/>
    </xf>
    <xf borderId="112" fillId="0" fontId="4" numFmtId="0" xfId="0" applyBorder="1" applyFont="1"/>
    <xf borderId="113" fillId="0" fontId="4" numFmtId="0" xfId="0" applyBorder="1" applyFont="1"/>
    <xf borderId="114" fillId="3" fontId="8" numFmtId="0" xfId="0" applyAlignment="1" applyBorder="1" applyFill="1" applyFont="1">
      <alignment horizontal="center" readingOrder="0" vertical="center"/>
    </xf>
    <xf borderId="115" fillId="3" fontId="8" numFmtId="0" xfId="0" applyAlignment="1" applyBorder="1" applyFill="1" applyFont="1">
      <alignment horizontal="center" readingOrder="0" vertical="center"/>
    </xf>
    <xf borderId="114" fillId="3" fontId="8" numFmtId="164" xfId="0" applyAlignment="1" applyBorder="1" applyFill="1" applyFont="1" applyNumberFormat="1">
      <alignment horizontal="center" readingOrder="0" vertical="center"/>
    </xf>
    <xf borderId="116" fillId="0" fontId="4" numFmtId="0" xfId="0" applyBorder="1" applyFont="1"/>
    <xf borderId="44" fillId="2" fontId="2" numFmtId="0" xfId="0" applyAlignment="1" applyBorder="1" applyFill="1" applyFont="1">
      <alignment vertical="bottom"/>
    </xf>
    <xf borderId="117" fillId="3" fontId="2" numFmtId="0" xfId="0" applyAlignment="1" applyBorder="1" applyFill="1" applyFont="1">
      <alignment vertical="bottom"/>
    </xf>
    <xf borderId="118" fillId="0" fontId="4" numFmtId="0" xfId="0" applyBorder="1" applyFont="1"/>
    <xf borderId="119" fillId="0" fontId="4" numFmtId="0" xfId="0" applyBorder="1" applyFont="1"/>
    <xf borderId="118" fillId="3" fontId="2" numFmtId="3" xfId="0" applyAlignment="1" applyBorder="1" applyFill="1" applyFont="1" applyNumberFormat="1">
      <alignment horizontal="center" vertical="bottom"/>
    </xf>
    <xf borderId="120" fillId="3" fontId="2" numFmtId="0" xfId="0" applyAlignment="1" applyBorder="1" applyFill="1" applyFont="1">
      <alignment vertical="bottom"/>
    </xf>
    <xf borderId="121" fillId="0" fontId="4" numFmtId="0" xfId="0" applyBorder="1" applyFont="1"/>
    <xf borderId="122" fillId="0" fontId="4" numFmtId="0" xfId="0" applyBorder="1" applyFont="1"/>
    <xf borderId="123" fillId="3" fontId="2" numFmtId="0" xfId="0" applyAlignment="1" applyBorder="1" applyFill="1" applyFont="1">
      <alignment readingOrder="0" vertical="center"/>
    </xf>
    <xf borderId="124" fillId="0" fontId="4" numFmtId="0" xfId="0" applyBorder="1" applyFont="1"/>
    <xf borderId="125" fillId="0" fontId="4" numFmtId="0" xfId="0" applyBorder="1" applyFont="1"/>
    <xf borderId="126" fillId="3" fontId="2" numFmtId="0" xfId="0" applyAlignment="1" applyBorder="1" applyFill="1" applyFont="1">
      <alignment horizontal="center" readingOrder="0" vertical="center"/>
    </xf>
    <xf borderId="127" fillId="3" fontId="2" numFmtId="0" xfId="0" applyAlignment="1" applyBorder="1" applyFill="1" applyFont="1">
      <alignment horizontal="center" vertical="center"/>
    </xf>
    <xf borderId="126" fillId="3" fontId="21" numFmtId="0" xfId="0" applyAlignment="1" applyBorder="1" applyFill="1" applyFont="1">
      <alignment horizontal="center" vertical="bottom"/>
    </xf>
    <xf borderId="126" fillId="3" fontId="2" numFmtId="164" xfId="0" applyAlignment="1" applyBorder="1" applyFill="1" applyFont="1" applyNumberFormat="1">
      <alignment horizontal="center" readingOrder="0" vertical="center"/>
    </xf>
    <xf borderId="128" fillId="0" fontId="4" numFmtId="0" xfId="0" applyBorder="1" applyFont="1"/>
    <xf borderId="129" fillId="2" fontId="2" numFmtId="0" xfId="0" applyAlignment="1" applyBorder="1" applyFill="1" applyFont="1">
      <alignment vertical="bottom"/>
    </xf>
    <xf borderId="130" fillId="3" fontId="2" numFmtId="0" xfId="0" applyAlignment="1" applyBorder="1" applyFill="1" applyFont="1">
      <alignment vertical="bottom"/>
    </xf>
    <xf borderId="131" fillId="0" fontId="4" numFmtId="0" xfId="0" applyBorder="1" applyFont="1"/>
    <xf borderId="132" fillId="0" fontId="4" numFmtId="0" xfId="0" applyBorder="1" applyFont="1"/>
    <xf borderId="124" fillId="3" fontId="2" numFmtId="3" xfId="0" applyAlignment="1" applyBorder="1" applyFill="1" applyFont="1" applyNumberFormat="1">
      <alignment horizontal="center" vertical="bottom"/>
    </xf>
    <xf borderId="133" fillId="0" fontId="4" numFmtId="0" xfId="0" applyBorder="1" applyFont="1"/>
    <xf borderId="134" fillId="3" fontId="2" numFmtId="0" xfId="0" applyAlignment="1" applyBorder="1" applyFill="1" applyFont="1">
      <alignment vertical="bottom"/>
    </xf>
    <xf borderId="135" fillId="0" fontId="4" numFmtId="0" xfId="0" applyBorder="1" applyFont="1"/>
    <xf borderId="136" fillId="0" fontId="4" numFmtId="0" xfId="0" applyBorder="1" applyFont="1"/>
    <xf borderId="123" fillId="3" fontId="2" numFmtId="0" xfId="0" applyAlignment="1" applyBorder="1" applyFill="1" applyFont="1">
      <alignment vertical="bottom"/>
    </xf>
    <xf borderId="137" fillId="3" fontId="2" numFmtId="0" xfId="0" applyAlignment="1" applyBorder="1" applyFill="1" applyFont="1">
      <alignment vertical="bottom"/>
    </xf>
    <xf borderId="138" fillId="0" fontId="4" numFmtId="0" xfId="0" applyBorder="1" applyFont="1"/>
    <xf borderId="139" fillId="0" fontId="4" numFmtId="0" xfId="0" applyBorder="1" applyFont="1"/>
    <xf borderId="138" fillId="3" fontId="2" numFmtId="0" xfId="0" applyAlignment="1" applyBorder="1" applyFill="1" applyFont="1">
      <alignment vertical="bottom"/>
    </xf>
    <xf borderId="28" fillId="2" fontId="2" numFmtId="0" xfId="0" applyAlignment="1" applyBorder="1" applyFill="1" applyFont="1">
      <alignment vertical="bottom"/>
    </xf>
    <xf borderId="74" fillId="2" fontId="2" numFmtId="0" xfId="0" applyAlignment="1" applyBorder="1" applyFill="1" applyFont="1">
      <alignment vertical="bottom"/>
    </xf>
    <xf borderId="123" fillId="3" fontId="2" numFmtId="0" xfId="0" applyAlignment="1" applyBorder="1" applyFill="1" applyFont="1">
      <alignment readingOrder="0" vertical="bottom"/>
    </xf>
    <xf borderId="124" fillId="3" fontId="2" numFmtId="3" xfId="0" applyAlignment="1" applyBorder="1" applyFill="1" applyFont="1" applyNumberFormat="1">
      <alignment horizontal="center" readingOrder="0" vertical="bottom"/>
    </xf>
    <xf borderId="138" fillId="3" fontId="2" numFmtId="0" xfId="0" applyAlignment="1" applyBorder="1" applyFill="1" applyFont="1">
      <alignment readingOrder="0" vertical="bottom"/>
    </xf>
    <xf borderId="140" fillId="3" fontId="2" numFmtId="0" xfId="0" applyAlignment="1" applyBorder="1" applyFill="1" applyFont="1">
      <alignment vertical="bottom"/>
    </xf>
    <xf borderId="140" fillId="0" fontId="4" numFmtId="0" xfId="0" applyBorder="1" applyFont="1"/>
    <xf borderId="141" fillId="0" fontId="4" numFmtId="0" xfId="0" applyBorder="1" applyFont="1"/>
    <xf borderId="142" fillId="0" fontId="18" numFmtId="0" xfId="0" applyAlignment="1" applyBorder="1" applyFont="1">
      <alignment horizontal="left" shrinkToFit="0" vertical="center" wrapText="0"/>
    </xf>
    <xf borderId="0" fillId="5" fontId="11" numFmtId="0" xfId="0" applyAlignment="1" applyFill="1" applyFont="1">
      <alignment readingOrder="0" shrinkToFit="0" vertical="center" wrapText="0"/>
    </xf>
    <xf borderId="0" fillId="5" fontId="11" numFmtId="0" xfId="0" applyAlignment="1" applyFill="1" applyFont="1">
      <alignment readingOrder="0" shrinkToFit="0" vertical="center" wrapText="0"/>
    </xf>
    <xf borderId="143" fillId="5" fontId="18" numFmtId="0" xfId="0" applyAlignment="1" applyBorder="1" applyFill="1" applyFont="1">
      <alignment shrinkToFit="0" vertical="center" wrapText="0"/>
    </xf>
    <xf borderId="142" fillId="14" fontId="18" numFmtId="0" xfId="0" applyAlignment="1" applyBorder="1" applyFill="1" applyFont="1">
      <alignment shrinkToFit="0" vertical="center" wrapText="0"/>
    </xf>
    <xf borderId="143" fillId="14" fontId="18" numFmtId="0" xfId="0" applyAlignment="1" applyBorder="1" applyFill="1" applyFont="1">
      <alignment shrinkToFit="0" vertical="center" wrapText="0"/>
    </xf>
    <xf borderId="144" fillId="14" fontId="18" numFmtId="0" xfId="0" applyAlignment="1" applyBorder="1" applyFill="1" applyFont="1">
      <alignment shrinkToFit="0" vertical="center" wrapText="0"/>
    </xf>
    <xf borderId="142" fillId="0" fontId="18" numFmtId="0" xfId="0" applyAlignment="1" applyBorder="1" applyFont="1">
      <alignment shrinkToFit="0" vertical="center" wrapText="0"/>
    </xf>
    <xf borderId="142" fillId="5" fontId="18" numFmtId="0" xfId="0" applyAlignment="1" applyBorder="1" applyFill="1" applyFont="1">
      <alignment shrinkToFit="0" vertical="center" wrapText="0"/>
    </xf>
    <xf borderId="143" fillId="0" fontId="18" numFmtId="0" xfId="0" applyAlignment="1" applyBorder="1" applyFont="1">
      <alignment shrinkToFit="0" vertical="center" wrapText="0"/>
    </xf>
    <xf borderId="142" fillId="0" fontId="22" numFmtId="0" xfId="0" applyAlignment="1" applyBorder="1" applyFont="1">
      <alignment shrinkToFit="0" vertical="center" wrapText="0"/>
    </xf>
    <xf borderId="0" fillId="0" fontId="11" numFmtId="0" xfId="0" applyAlignment="1" applyFont="1">
      <alignment readingOrder="0" shrinkToFit="0" vertical="center" wrapText="0"/>
    </xf>
    <xf borderId="143" fillId="14" fontId="18" numFmtId="0" xfId="0" applyAlignment="1" applyBorder="1" applyFill="1" applyFont="1">
      <alignment readingOrder="0" shrinkToFit="0" vertical="center" wrapText="0"/>
    </xf>
    <xf borderId="144" fillId="5" fontId="18" numFmtId="0" xfId="0" applyAlignment="1" applyBorder="1" applyFill="1" applyFont="1">
      <alignment shrinkToFit="0" vertical="center" wrapText="0"/>
    </xf>
    <xf borderId="143" fillId="5" fontId="18" numFmtId="0" xfId="0" applyAlignment="1" applyBorder="1" applyFill="1" applyFont="1">
      <alignment readingOrder="0" shrinkToFit="0" vertical="center" wrapText="0"/>
    </xf>
    <xf borderId="0" fillId="5" fontId="18" numFmtId="0" xfId="0" applyAlignment="1" applyFill="1" applyFont="1">
      <alignment shrinkToFit="0" vertical="center" wrapText="0"/>
    </xf>
    <xf borderId="0" fillId="0" fontId="18" numFmtId="0" xfId="0" applyAlignment="1" applyFont="1">
      <alignment shrinkToFit="0" vertical="center" wrapText="0"/>
    </xf>
    <xf borderId="0" fillId="14" fontId="18" numFmtId="0" xfId="0" applyAlignment="1" applyFill="1" applyFont="1">
      <alignment shrinkToFit="0" vertical="center" wrapText="0"/>
    </xf>
    <xf borderId="0" fillId="0" fontId="23" numFmtId="0" xfId="0" applyAlignment="1" applyFont="1">
      <alignment shrinkToFit="0" vertical="center" wrapText="0"/>
    </xf>
    <xf borderId="0" fillId="0" fontId="8" numFmtId="0" xfId="0" applyAlignment="1" applyFont="1">
      <alignment horizontal="center"/>
    </xf>
    <xf borderId="0" fillId="0" fontId="8" numFmtId="0" xfId="0" applyAlignment="1" applyFont="1">
      <alignment horizontal="center" vertical="center"/>
    </xf>
    <xf borderId="0" fillId="0" fontId="8" numFmtId="0" xfId="0" applyAlignment="1" applyFont="1">
      <alignment horizontal="center" readingOrder="0" vertical="center"/>
    </xf>
    <xf borderId="107" fillId="0" fontId="8" numFmtId="0" xfId="0" applyAlignment="1" applyBorder="1" applyFont="1">
      <alignment horizontal="center" readingOrder="0"/>
    </xf>
    <xf borderId="107" fillId="0" fontId="8" numFmtId="0" xfId="0" applyAlignment="1" applyBorder="1" applyFont="1">
      <alignment horizontal="center"/>
    </xf>
    <xf borderId="107" fillId="0" fontId="2" numFmtId="0" xfId="0" applyAlignment="1" applyBorder="1" applyFont="1">
      <alignment horizontal="center"/>
    </xf>
    <xf borderId="0" fillId="0" fontId="2" numFmtId="0" xfId="0" applyAlignment="1" applyFont="1">
      <alignment horizontal="center"/>
    </xf>
    <xf borderId="0" fillId="0" fontId="24" numFmtId="0" xfId="0" applyAlignment="1" applyFont="1">
      <alignment horizontal="center" readingOrder="0" shrinkToFit="0" vertical="center" wrapText="0"/>
    </xf>
    <xf borderId="0" fillId="0" fontId="24" numFmtId="49" xfId="0" applyAlignment="1" applyFont="1" applyNumberFormat="1">
      <alignment horizontal="center" readingOrder="0" shrinkToFit="0" vertical="center" wrapText="0"/>
    </xf>
    <xf borderId="0" fillId="0" fontId="24" numFmtId="49" xfId="0" applyAlignment="1" applyFont="1" applyNumberFormat="1">
      <alignment horizontal="left" readingOrder="0" shrinkToFit="0" vertical="center" wrapText="0"/>
    </xf>
    <xf borderId="0" fillId="0" fontId="24" numFmtId="0" xfId="0" applyAlignment="1" applyFont="1">
      <alignment horizontal="left" readingOrder="0" shrinkToFit="0" vertical="center" wrapText="0"/>
    </xf>
    <xf borderId="145" fillId="5" fontId="25" numFmtId="0" xfId="0" applyAlignment="1" applyBorder="1" applyFill="1" applyFont="1">
      <alignment shrinkToFit="0" vertical="bottom" wrapText="0"/>
    </xf>
    <xf borderId="78" fillId="5" fontId="26" numFmtId="0" xfId="0" applyAlignment="1" applyBorder="1" applyFill="1" applyFont="1">
      <alignment readingOrder="0" shrinkToFit="0" vertical="center" wrapText="0"/>
    </xf>
    <xf borderId="78" fillId="5" fontId="2" numFmtId="0" xfId="0" applyAlignment="1" applyBorder="1" applyFill="1" applyFont="1">
      <alignment shrinkToFit="0" vertical="center" wrapText="0"/>
    </xf>
    <xf borderId="78" fillId="5" fontId="17" numFmtId="164" xfId="0" applyAlignment="1" applyBorder="1" applyFill="1" applyFont="1" applyNumberFormat="1">
      <alignment horizontal="center" readingOrder="0" shrinkToFit="0" vertical="center" wrapText="0"/>
    </xf>
    <xf borderId="77" fillId="15" fontId="27" numFmtId="0" xfId="0" applyAlignment="1" applyBorder="1" applyFill="1" applyFont="1">
      <alignment horizontal="center" shrinkToFit="0" vertical="center" wrapText="0"/>
    </xf>
    <xf borderId="77" fillId="5" fontId="27" numFmtId="0" xfId="0" applyAlignment="1" applyBorder="1" applyFill="1" applyFont="1">
      <alignment horizontal="center" shrinkToFit="0" vertical="center" wrapText="0"/>
    </xf>
    <xf borderId="0" fillId="0" fontId="28" numFmtId="0" xfId="0" applyAlignment="1" applyFont="1">
      <alignment horizontal="center" shrinkToFit="0" vertical="center" wrapText="0"/>
    </xf>
    <xf borderId="146" fillId="5" fontId="2" numFmtId="3" xfId="0" applyAlignment="1" applyBorder="1" applyFill="1" applyFont="1" applyNumberFormat="1">
      <alignment horizontal="center" readingOrder="0" shrinkToFit="0" vertical="center" wrapText="0"/>
    </xf>
    <xf borderId="146" fillId="5" fontId="2" numFmtId="0" xfId="0" applyAlignment="1" applyBorder="1" applyFill="1" applyFont="1">
      <alignment horizontal="center" shrinkToFit="0" vertical="center" wrapText="0"/>
    </xf>
    <xf borderId="78" fillId="16" fontId="17" numFmtId="0" xfId="0" applyAlignment="1" applyBorder="1" applyFill="1" applyFont="1">
      <alignment horizontal="center" shrinkToFit="0" vertical="center" wrapText="0"/>
    </xf>
    <xf borderId="78" fillId="5" fontId="2" numFmtId="0" xfId="0" applyAlignment="1" applyBorder="1" applyFill="1" applyFont="1">
      <alignment horizontal="center" shrinkToFit="0" vertical="center" wrapText="0"/>
    </xf>
    <xf borderId="147" fillId="5" fontId="2" numFmtId="0" xfId="0" applyAlignment="1" applyBorder="1" applyFill="1" applyFont="1">
      <alignment horizontal="center" readingOrder="0" shrinkToFit="0" vertical="center" wrapText="0"/>
    </xf>
    <xf borderId="147" fillId="5" fontId="2" numFmtId="0" xfId="0" applyAlignment="1" applyBorder="1" applyFill="1" applyFont="1">
      <alignment horizontal="center" shrinkToFit="0" vertical="center" wrapText="0"/>
    </xf>
    <xf borderId="78" fillId="5" fontId="2" numFmtId="3" xfId="0" applyAlignment="1" applyBorder="1" applyFill="1" applyFont="1" applyNumberFormat="1">
      <alignment horizontal="center" shrinkToFit="0" vertical="center" wrapText="0"/>
    </xf>
    <xf borderId="148" fillId="5" fontId="2" numFmtId="0" xfId="0" applyAlignment="1" applyBorder="1" applyFill="1" applyFont="1">
      <alignment horizontal="center" shrinkToFit="0" vertical="center" wrapText="0"/>
    </xf>
    <xf borderId="17" fillId="5" fontId="2" numFmtId="0" xfId="0" applyAlignment="1" applyBorder="1" applyFill="1" applyFont="1">
      <alignment horizontal="center" shrinkToFit="0" vertical="center" wrapText="0"/>
    </xf>
    <xf borderId="18" fillId="5" fontId="2" numFmtId="0" xfId="0" applyAlignment="1" applyBorder="1" applyFill="1" applyFont="1">
      <alignment horizontal="center" shrinkToFit="0" vertical="center" wrapText="0"/>
    </xf>
    <xf borderId="145" fillId="14" fontId="25" numFmtId="0" xfId="0" applyAlignment="1" applyBorder="1" applyFill="1" applyFont="1">
      <alignment shrinkToFit="0" vertical="bottom" wrapText="0"/>
    </xf>
    <xf borderId="78" fillId="5" fontId="2" numFmtId="0" xfId="0" applyAlignment="1" applyBorder="1" applyFill="1" applyFont="1">
      <alignment horizontal="center" readingOrder="0" shrinkToFit="0" vertical="center" wrapText="0"/>
    </xf>
    <xf borderId="78" fillId="5" fontId="2" numFmtId="3" xfId="0" applyAlignment="1" applyBorder="1" applyFill="1" applyFont="1" applyNumberFormat="1">
      <alignment horizontal="center" readingOrder="0" shrinkToFit="0" vertical="center" wrapText="0"/>
    </xf>
    <xf borderId="0" fillId="5" fontId="2" numFmtId="0" xfId="0" applyAlignment="1" applyFill="1" applyFont="1">
      <alignment horizontal="center" shrinkToFit="0" vertical="center" wrapText="0"/>
    </xf>
    <xf borderId="146" fillId="5" fontId="2" numFmtId="0" xfId="0" applyAlignment="1" applyBorder="1" applyFill="1" applyFont="1">
      <alignment horizontal="center" readingOrder="0" shrinkToFit="0" vertical="center" wrapText="0"/>
    </xf>
    <xf borderId="78" fillId="16" fontId="17" numFmtId="0" xfId="0" applyAlignment="1" applyBorder="1" applyFill="1" applyFont="1">
      <alignment horizontal="center" readingOrder="0" shrinkToFit="0" vertical="center" wrapText="0"/>
    </xf>
    <xf borderId="0" fillId="5" fontId="2" numFmtId="0" xfId="0" applyAlignment="1" applyFill="1" applyFont="1">
      <alignment horizontal="center" readingOrder="0" shrinkToFit="0" vertical="center" wrapText="0"/>
    </xf>
    <xf borderId="149" fillId="14" fontId="25" numFmtId="0" xfId="0" applyAlignment="1" applyBorder="1" applyFill="1" applyFont="1">
      <alignment shrinkToFit="0" vertical="bottom" wrapText="0"/>
    </xf>
    <xf borderId="20" fillId="5" fontId="2" numFmtId="0" xfId="0" applyAlignment="1" applyBorder="1" applyFill="1" applyFont="1">
      <alignment horizontal="center" shrinkToFit="0" vertical="center" wrapText="0"/>
    </xf>
    <xf borderId="21" fillId="5" fontId="2" numFmtId="0" xfId="0" applyAlignment="1" applyBorder="1" applyFill="1" applyFont="1">
      <alignment horizontal="center" shrinkToFit="0" vertical="center" wrapText="0"/>
    </xf>
    <xf borderId="0" fillId="0" fontId="11" numFmtId="0" xfId="0" applyAlignment="1" applyFont="1">
      <alignment readingOrder="0"/>
    </xf>
    <xf borderId="0" fillId="0" fontId="24" numFmtId="49" xfId="0" applyAlignment="1" applyFont="1" applyNumberFormat="1">
      <alignment horizontal="center" readingOrder="0" shrinkToFit="0" wrapText="0"/>
    </xf>
    <xf borderId="0" fillId="0" fontId="24" numFmtId="49" xfId="0" applyAlignment="1" applyFont="1" applyNumberFormat="1">
      <alignment readingOrder="0" shrinkToFit="0" wrapText="0"/>
    </xf>
    <xf borderId="0" fillId="0" fontId="24" numFmtId="0" xfId="0" applyAlignment="1" applyFont="1">
      <alignment readingOrder="0" shrinkToFit="0" wrapText="0"/>
    </xf>
    <xf borderId="0" fillId="0" fontId="13" numFmtId="164" xfId="0" applyAlignment="1" applyFont="1" applyNumberFormat="1">
      <alignment horizontal="center"/>
    </xf>
    <xf borderId="0" fillId="0" fontId="13" numFmtId="0" xfId="0" applyAlignment="1" applyFont="1">
      <alignment horizontal="right" readingOrder="0"/>
    </xf>
    <xf borderId="1" fillId="0" fontId="13" numFmtId="3" xfId="0" applyAlignment="1" applyBorder="1" applyFont="1" applyNumberFormat="1">
      <alignment horizontal="center"/>
    </xf>
    <xf borderId="80" fillId="0" fontId="13" numFmtId="0" xfId="0" applyAlignment="1" applyBorder="1" applyFont="1">
      <alignment horizontal="center"/>
    </xf>
    <xf borderId="81" fillId="0" fontId="13" numFmtId="0" xfId="0" applyAlignment="1" applyBorder="1" applyFont="1">
      <alignment horizontal="center"/>
    </xf>
    <xf borderId="69" fillId="0" fontId="13" numFmtId="0" xfId="0" applyAlignment="1" applyBorder="1" applyFont="1">
      <alignment horizontal="center"/>
    </xf>
    <xf borderId="81" fillId="0" fontId="13" numFmtId="3" xfId="0" applyAlignment="1" applyBorder="1" applyFont="1" applyNumberFormat="1">
      <alignment horizontal="center"/>
    </xf>
    <xf borderId="69" fillId="0" fontId="13" numFmtId="3" xfId="0" applyAlignment="1" applyBorder="1" applyFont="1" applyNumberFormat="1">
      <alignment horizontal="center"/>
    </xf>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
      <font/>
      <fill>
        <patternFill patternType="solid">
          <fgColor rgb="FFB7E1CD"/>
          <bgColor rgb="FFB7E1CD"/>
        </patternFill>
      </fill>
      <border/>
    </dxf>
    <dxf>
      <font>
        <color rgb="FFEFEFEF"/>
      </font>
      <fill>
        <patternFill patternType="none"/>
      </fill>
      <border/>
    </dxf>
    <dxf>
      <font>
        <b/>
        <color theme="7"/>
      </font>
      <fill>
        <patternFill patternType="none"/>
      </fill>
      <border/>
    </dxf>
    <dxf>
      <font>
        <b/>
      </font>
      <fill>
        <patternFill patternType="solid">
          <fgColor rgb="FFB7E1CD"/>
          <bgColor rgb="FFB7E1CD"/>
        </patternFill>
      </fill>
      <border/>
    </dxf>
    <dxf>
      <font>
        <color rgb="FFD9D9D9"/>
      </font>
      <fill>
        <patternFill patternType="none"/>
      </fill>
      <border/>
    </dxf>
    <dxf>
      <font/>
      <fill>
        <patternFill patternType="solid">
          <fgColor rgb="FFD9D9D9"/>
          <bgColor rgb="FFD9D9D9"/>
        </patternFill>
      </fill>
      <border/>
    </dxf>
    <dxf>
      <font>
        <color rgb="FFFFFFFF"/>
      </font>
      <fill>
        <patternFill patternType="none"/>
      </fill>
      <border/>
    </dxf>
  </dxfs>
  <tableStyles count="3">
    <tableStyle count="4" pivot="0" name="Individual Stats-style">
      <tableStyleElement dxfId="1" type="headerRow"/>
      <tableStyleElement dxfId="2" type="firstRowStripe"/>
      <tableStyleElement dxfId="3" type="secondRowStripe"/>
      <tableStyleElement dxfId="4" size="0" type="wholeTable"/>
    </tableStyle>
    <tableStyle count="4" pivot="0" name="Tradeable Drops-style">
      <tableStyleElement dxfId="1" type="headerRow"/>
      <tableStyleElement dxfId="2" type="firstRowStripe"/>
      <tableStyleElement dxfId="3" type="secondRowStripe"/>
      <tableStyleElement dxfId="4" size="0" type="wholeTable"/>
    </tableStyle>
    <tableStyle count="4" pivot="0" name="Ultimate Breakdown-style">
      <tableStyleElement dxfId="1" type="headerRow"/>
      <tableStyleElement dxfId="2" type="firstRowStripe"/>
      <tableStyleElement dxfId="10"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247650" cy="762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35</xdr:col>
      <xdr:colOff>0</xdr:colOff>
      <xdr:row>2</xdr:row>
      <xdr:rowOff>0</xdr:rowOff>
    </xdr:from>
    <xdr:ext cx="247650"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AW36" displayName="Table3" name="Table3" id="1">
  <tableColumns count="49">
    <tableColumn name="Members" id="1"/>
    <tableColumn name="WT" id="2"/>
    <tableColumn name="Tempo" id="3"/>
    <tableColumn name="Clues" id="4"/>
    <tableColumn name="GOTR" id="5"/>
    <tableColumn name="Yama" id="6"/>
    <tableColumn name="Blood Shard" id="7"/>
    <tableColumn name="Teleport Seed" id="8"/>
    <tableColumn name="Chisel" id="9"/>
    <tableColumn name="Hammer" id="10"/>
    <tableColumn name="Knife" id="11"/>
    <tableColumn name="Points" id="12"/>
    <tableColumn name="Tiles" id="13"/>
    <tableColumn name="Total GP" id="14"/>
    <tableColumn name="1" id="15"/>
    <tableColumn name="2" id="16"/>
    <tableColumn name="3" id="17"/>
    <tableColumn name="4" id="18"/>
    <tableColumn name="5" id="19"/>
    <tableColumn name="6" id="20"/>
    <tableColumn name="7" id="21"/>
    <tableColumn name="8" id="22"/>
    <tableColumn name="9" id="23"/>
    <tableColumn name="10" id="24"/>
    <tableColumn name="11" id="25"/>
    <tableColumn name="12" id="26"/>
    <tableColumn name="13" id="27"/>
    <tableColumn name="14" id="28"/>
    <tableColumn name="15" id="29"/>
    <tableColumn name="16" id="30"/>
    <tableColumn name="17" id="31"/>
    <tableColumn name="18" id="32"/>
    <tableColumn name="19" id="33"/>
    <tableColumn name="20" id="34"/>
    <tableColumn name="21" id="35"/>
    <tableColumn name="22" id="36"/>
    <tableColumn name="23" id="37"/>
    <tableColumn name="24" id="38"/>
    <tableColumn name="25" id="39"/>
    <tableColumn name="26" id="40"/>
    <tableColumn name="27" id="41"/>
    <tableColumn name="28" id="42"/>
    <tableColumn name="29" id="43"/>
    <tableColumn name="30" id="44"/>
    <tableColumn name="31" id="45"/>
    <tableColumn name="32" id="46"/>
    <tableColumn name="33" id="47"/>
    <tableColumn name="34" id="48"/>
    <tableColumn name="35" id="49"/>
  </tableColumns>
  <tableStyleInfo name="Individual Stats-style" showColumnStripes="0" showFirstColumn="1" showLastColumn="1" showRowStripes="1"/>
</table>
</file>

<file path=xl/tables/table2.xml><?xml version="1.0" encoding="utf-8"?>
<table xmlns="http://schemas.openxmlformats.org/spreadsheetml/2006/main" ref="A2:T36" displayName="Table3_2" name="Table3_2" id="2">
  <tableColumns count="20">
    <tableColumn name="Members" id="1"/>
    <tableColumn name="1" id="2"/>
    <tableColumn name="2" id="3"/>
    <tableColumn name="3" id="4"/>
    <tableColumn name="4" id="5"/>
    <tableColumn name="5" id="6"/>
    <tableColumn name="6" id="7"/>
    <tableColumn name="7" id="8"/>
    <tableColumn name="8" id="9"/>
    <tableColumn name="9" id="10"/>
    <tableColumn name="10" id="11"/>
    <tableColumn name="11" id="12"/>
    <tableColumn name="12" id="13"/>
    <tableColumn name="13" id="14"/>
    <tableColumn name="14" id="15"/>
    <tableColumn name="15" id="16"/>
    <tableColumn name="16" id="17"/>
    <tableColumn name="17" id="18"/>
    <tableColumn name="18" id="19"/>
    <tableColumn name="19" id="20"/>
  </tableColumns>
  <tableStyleInfo name="Tradeable Drops-style" showColumnStripes="0" showFirstColumn="1" showLastColumn="1" showRowStripes="1"/>
</table>
</file>

<file path=xl/tables/table3.xml><?xml version="1.0" encoding="utf-8"?>
<table xmlns="http://schemas.openxmlformats.org/spreadsheetml/2006/main" ref="A3:BN37" displayName="Table2" name="Table2" id="3">
  <autoFilter ref="$A$3:$BN$37"/>
  <tableColumns count="66">
    <tableColumn name="RSN" id="1"/>
    <tableColumn name="Team" id="2"/>
    <tableColumn name="Reward" id="3"/>
    <tableColumn name="Iron" id="4"/>
    <tableColumn name="EHB Gain" id="5"/>
    <tableColumn name="BOSS #" id="6"/>
    <tableColumn name="TOT KC" id="7"/>
    <tableColumn name="#1 Boss KC" id="8"/>
    <tableColumn name="#2 Boss KC" id="9"/>
    <tableColumn name="#3 Boss KC" id="10"/>
    <tableColumn name="MED" id="11"/>
    <tableColumn name="TEM" id="12"/>
    <tableColumn name="GOT" id="13"/>
    <tableColumn name="ZAL" id="14"/>
    <tableColumn name="WT" id="15"/>
    <tableColumn name="ART" id="16"/>
    <tableColumn name="CAL" id="17"/>
    <tableColumn name="CLV" id="18"/>
    <tableColumn name="VET" id="19"/>
    <tableColumn name="SPI" id="20"/>
    <tableColumn name="VEN" id="21"/>
    <tableColumn name="BAR" id="22"/>
    <tableColumn name="DOO" id="23"/>
    <tableColumn name="GAU" id="24"/>
    <tableColumn name="CGA" id="25"/>
    <tableColumn name="MOO" id="26"/>
    <tableColumn name="MUS" id="27"/>
    <tableColumn name="SCU" id="28"/>
    <tableColumn name="SKO" id="29"/>
    <tableColumn name="VOR" id="30"/>
    <tableColumn name="ZUL" id="31"/>
    <tableColumn name="MAD" id="32"/>
    <tableColumn name="MAG" id="33"/>
    <tableColumn name="COL" id="34"/>
    <tableColumn name="DUK" id="35"/>
    <tableColumn name="LEV" id="36"/>
    <tableColumn name="VAR" id="37"/>
    <tableColumn name="WHI" id="38"/>
    <tableColumn name="HUE" id="39"/>
    <tableColumn name="NIG" id="40"/>
    <tableColumn name="PNM" id="41"/>
    <tableColumn name="TIT" id="42"/>
    <tableColumn name="YAM" id="43"/>
    <tableColumn name="CRP" id="44"/>
    <tableColumn name="SIR" id="45"/>
    <tableColumn name="HYD" id="46"/>
    <tableColumn name="ARX" id="47"/>
    <tableColumn name="CER" id="48"/>
    <tableColumn name="DGP" id="49"/>
    <tableColumn name="DGR" id="50"/>
    <tableColumn name="DGS" id="51"/>
    <tableColumn name="GRY" id="52"/>
    <tableColumn name="GRG" id="53"/>
    <tableColumn name="KRK" id="54"/>
    <tableColumn name="TSD" id="55"/>
    <tableColumn name="ZIL" id="56"/>
    <tableColumn name="GRA" id="57"/>
    <tableColumn name="KRI" id="58"/>
    <tableColumn name="KRE" id="59"/>
    <tableColumn name="NEX" id="60"/>
    <tableColumn name="COX" id="61"/>
    <tableColumn name="CXC" id="62"/>
    <tableColumn name="TOB" id="63"/>
    <tableColumn name="TBH" id="64"/>
    <tableColumn name="TOA" id="65"/>
    <tableColumn name="TOE" id="66"/>
  </tableColumns>
  <tableStyleInfo name="Ultimate Breakdow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8" width="3.25"/>
  </cols>
  <sheetData>
    <row r="1" ht="18.7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c r="AI1" s="2"/>
      <c r="AJ1" s="2"/>
      <c r="AK1" s="2"/>
      <c r="AL1" s="2"/>
      <c r="AM1" s="2"/>
      <c r="AN1" s="2"/>
      <c r="AO1" s="2"/>
      <c r="AP1" s="2"/>
      <c r="AQ1" s="2"/>
      <c r="AR1" s="2"/>
      <c r="AS1" s="2"/>
      <c r="AT1" s="2"/>
      <c r="AU1" s="2"/>
      <c r="AV1" s="2"/>
    </row>
    <row r="2" ht="18.75" customHeight="1">
      <c r="A2" s="2"/>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3"/>
      <c r="AI2" s="5"/>
      <c r="AJ2" s="6"/>
      <c r="AK2" s="6"/>
      <c r="AL2" s="6"/>
      <c r="AM2" s="6"/>
      <c r="AN2" s="6"/>
      <c r="AO2" s="6"/>
      <c r="AP2" s="6"/>
      <c r="AQ2" s="6"/>
      <c r="AR2" s="6"/>
      <c r="AS2" s="6"/>
      <c r="AT2" s="6"/>
      <c r="AU2" s="5"/>
      <c r="AV2" s="2"/>
    </row>
    <row r="3" ht="18.75" customHeight="1">
      <c r="A3" s="2"/>
      <c r="B3" s="4"/>
      <c r="C3" s="7"/>
      <c r="D3" s="8"/>
      <c r="E3" s="8"/>
      <c r="F3" s="8"/>
      <c r="G3" s="8"/>
      <c r="H3" s="8"/>
      <c r="I3" s="8"/>
      <c r="J3" s="8"/>
      <c r="K3" s="8"/>
      <c r="L3" s="8"/>
      <c r="M3" s="8"/>
      <c r="N3" s="8"/>
      <c r="O3" s="8"/>
      <c r="P3" s="8"/>
      <c r="Q3" s="8"/>
      <c r="R3" s="8"/>
      <c r="S3" s="8"/>
      <c r="T3" s="8"/>
      <c r="U3" s="8"/>
      <c r="V3" s="8"/>
      <c r="W3" s="8"/>
      <c r="X3" s="8"/>
      <c r="Y3" s="8"/>
      <c r="Z3" s="8"/>
      <c r="AA3" s="8"/>
      <c r="AB3" s="8"/>
      <c r="AC3" s="8"/>
      <c r="AD3" s="8"/>
      <c r="AE3" s="8"/>
      <c r="AF3" s="8"/>
      <c r="AG3" s="4"/>
      <c r="AH3" s="3"/>
      <c r="AI3" s="9"/>
      <c r="AJ3" s="10"/>
      <c r="AK3" s="11"/>
      <c r="AL3" s="11"/>
      <c r="AM3" s="11"/>
      <c r="AN3" s="11"/>
      <c r="AO3" s="11"/>
      <c r="AP3" s="11"/>
      <c r="AQ3" s="11"/>
      <c r="AR3" s="11"/>
      <c r="AS3" s="11"/>
      <c r="AT3" s="12"/>
      <c r="AU3" s="13"/>
      <c r="AV3" s="2"/>
    </row>
    <row r="4" ht="18.75" customHeight="1">
      <c r="A4" s="2"/>
      <c r="B4" s="4"/>
      <c r="C4" s="14"/>
      <c r="AG4" s="4"/>
      <c r="AH4" s="3"/>
      <c r="AI4" s="9"/>
      <c r="AJ4" s="15"/>
      <c r="AT4" s="16"/>
      <c r="AU4" s="13"/>
      <c r="AV4" s="2"/>
    </row>
    <row r="5" ht="18.75" customHeight="1">
      <c r="A5" s="2"/>
      <c r="B5" s="4"/>
      <c r="C5" s="14"/>
      <c r="AG5" s="4"/>
      <c r="AH5" s="3"/>
      <c r="AI5" s="9"/>
      <c r="AJ5" s="15"/>
      <c r="AT5" s="16"/>
      <c r="AU5" s="13"/>
      <c r="AV5" s="2"/>
    </row>
    <row r="6" ht="18.75" customHeight="1">
      <c r="A6" s="2"/>
      <c r="B6" s="4"/>
      <c r="C6" s="14"/>
      <c r="AG6" s="4"/>
      <c r="AH6" s="3"/>
      <c r="AI6" s="9"/>
      <c r="AJ6" s="15"/>
      <c r="AT6" s="16"/>
      <c r="AU6" s="13"/>
      <c r="AV6" s="2"/>
    </row>
    <row r="7" ht="18.75" customHeight="1">
      <c r="A7" s="2"/>
      <c r="B7" s="4"/>
      <c r="C7" s="14"/>
      <c r="AG7" s="4"/>
      <c r="AH7" s="3"/>
      <c r="AI7" s="9"/>
      <c r="AJ7" s="15"/>
      <c r="AT7" s="16"/>
      <c r="AU7" s="13"/>
      <c r="AV7" s="2"/>
    </row>
    <row r="8" ht="18.75" customHeight="1">
      <c r="A8" s="2"/>
      <c r="B8" s="4"/>
      <c r="C8" s="14"/>
      <c r="AG8" s="4"/>
      <c r="AH8" s="3"/>
      <c r="AI8" s="9"/>
      <c r="AJ8" s="15"/>
      <c r="AT8" s="16"/>
      <c r="AU8" s="13"/>
      <c r="AV8" s="2"/>
    </row>
    <row r="9" ht="18.75" customHeight="1">
      <c r="A9" s="2"/>
      <c r="B9" s="4"/>
      <c r="C9" s="14"/>
      <c r="AG9" s="4"/>
      <c r="AH9" s="3"/>
      <c r="AI9" s="9"/>
      <c r="AJ9" s="15"/>
      <c r="AT9" s="16"/>
      <c r="AU9" s="13"/>
      <c r="AV9" s="2"/>
    </row>
    <row r="10" ht="18.75" customHeight="1">
      <c r="A10" s="2"/>
      <c r="B10" s="17"/>
      <c r="C10" s="14"/>
      <c r="AG10" s="4"/>
      <c r="AH10" s="3"/>
      <c r="AI10" s="9"/>
      <c r="AJ10" s="18" t="str">
        <f>"Points Tally: " &amp; AF53</f>
        <v>Points Tally: 596</v>
      </c>
      <c r="AK10" s="19"/>
      <c r="AL10" s="19"/>
      <c r="AM10" s="19"/>
      <c r="AN10" s="19"/>
      <c r="AO10" s="19"/>
      <c r="AP10" s="19"/>
      <c r="AQ10" s="19"/>
      <c r="AR10" s="19"/>
      <c r="AS10" s="19"/>
      <c r="AT10" s="20"/>
      <c r="AU10" s="13"/>
      <c r="AV10" s="2"/>
    </row>
    <row r="11" ht="18.75" customHeight="1">
      <c r="A11" s="2"/>
      <c r="B11" s="17"/>
      <c r="C11" s="14"/>
      <c r="AG11" s="4"/>
      <c r="AH11" s="3"/>
      <c r="AI11" s="9"/>
      <c r="AJ11" s="21"/>
      <c r="AK11" s="22"/>
      <c r="AL11" s="22"/>
      <c r="AM11" s="22"/>
      <c r="AN11" s="22"/>
      <c r="AO11" s="22"/>
      <c r="AP11" s="22"/>
      <c r="AQ11" s="22"/>
      <c r="AR11" s="22"/>
      <c r="AS11" s="22"/>
      <c r="AT11" s="23"/>
      <c r="AU11" s="13"/>
      <c r="AV11" s="2"/>
    </row>
    <row r="12" ht="18.75" customHeight="1">
      <c r="A12" s="2"/>
      <c r="B12" s="17"/>
      <c r="C12" s="24"/>
      <c r="D12" s="24"/>
      <c r="E12" s="24"/>
      <c r="F12" s="24"/>
      <c r="G12" s="24"/>
      <c r="H12" s="24"/>
      <c r="I12" s="24"/>
      <c r="J12" s="24"/>
      <c r="K12" s="24"/>
      <c r="L12" s="24"/>
      <c r="M12" s="24"/>
      <c r="N12" s="24"/>
      <c r="O12" s="24"/>
      <c r="P12" s="24"/>
      <c r="Q12" s="24"/>
      <c r="R12" s="24"/>
      <c r="S12" s="25"/>
      <c r="T12" s="24"/>
      <c r="U12" s="24"/>
      <c r="V12" s="24"/>
      <c r="W12" s="25"/>
      <c r="X12" s="24"/>
      <c r="Y12" s="24"/>
      <c r="Z12" s="24"/>
      <c r="AA12" s="24"/>
      <c r="AB12" s="24"/>
      <c r="AC12" s="24"/>
      <c r="AD12" s="24"/>
      <c r="AE12" s="24"/>
      <c r="AF12" s="24"/>
      <c r="AG12" s="4"/>
      <c r="AH12" s="3"/>
      <c r="AI12" s="6"/>
      <c r="AJ12" s="26"/>
      <c r="AK12" s="26"/>
      <c r="AL12" s="26"/>
      <c r="AM12" s="26"/>
      <c r="AN12" s="26"/>
      <c r="AO12" s="26"/>
      <c r="AP12" s="26"/>
      <c r="AQ12" s="26"/>
      <c r="AR12" s="26"/>
      <c r="AS12" s="26"/>
      <c r="AT12" s="26"/>
      <c r="AU12" s="6"/>
      <c r="AV12" s="2"/>
    </row>
    <row r="13" ht="18.75" customHeight="1">
      <c r="A13" s="2"/>
      <c r="B13" s="27"/>
      <c r="C13" s="28" t="str">
        <f>IF('Accepted Drops'!J3&gt;='Accepted Drops'!L3,IMAGE("https://summerbingo.s.gy/angelCompleteLow",2),IMAGE("https://summerbingo.s.gy/angel" &amp; 'Accepted Drops'!J3,2))</f>
        <v/>
      </c>
      <c r="D13" s="29"/>
      <c r="E13" s="29"/>
      <c r="F13" s="29"/>
      <c r="G13" s="30"/>
      <c r="H13" s="28" t="str">
        <f>IF('Accepted Drops'!T3&gt;='Accepted Drops'!V3,IMAGE("https://summerbingo.s.gy/hueyCompleteLow",2),IMAGE("https://summerbingo.s.gy/huey" &amp; 'Accepted Drops'!T3,2))</f>
        <v/>
      </c>
      <c r="I13" s="29"/>
      <c r="J13" s="29"/>
      <c r="K13" s="29"/>
      <c r="L13" s="30"/>
      <c r="M13" s="31" t="str">
        <f>IF('Accepted Drops'!AD3&gt;='Accepted Drops'!AF3,IMAGE("https://summerbingo.s.gy/guardiansCompleteMed",2),IMAGE("https://summerbingo.s.gy/guardians" &amp; 'Accepted Drops'!AD3,2))</f>
        <v/>
      </c>
      <c r="N13" s="29"/>
      <c r="O13" s="29"/>
      <c r="P13" s="29"/>
      <c r="Q13" s="30"/>
      <c r="R13" s="31" t="str">
        <f>IF('Accepted Drops'!AN3&gt;='Accepted Drops'!AP3,IMAGE("https://summerbingo.s.gy/tdsCompleteMed",2),IMAGE("https://summerbingo.s.gy/tds" &amp; 'Accepted Drops'!AN3,2))</f>
        <v/>
      </c>
      <c r="S13" s="29"/>
      <c r="T13" s="29"/>
      <c r="U13" s="29"/>
      <c r="V13" s="30"/>
      <c r="W13" s="32" t="str">
        <f>IF('Accepted Drops'!AX3&gt;='Accepted Drops'!AZ3,IMAGE("https://summerbingo.s.gy/cerbCompleteHigh",2),IMAGE("https://summerbingo.s.gy/cerb" &amp; 'Accepted Drops'!AX3,2))</f>
        <v/>
      </c>
      <c r="X13" s="29"/>
      <c r="Y13" s="29"/>
      <c r="Z13" s="29"/>
      <c r="AA13" s="30"/>
      <c r="AB13" s="32" t="str">
        <f>IF('Accepted Drops'!BH3&gt;='Accepted Drops'!BJ3,IMAGE("https://summerbingo.s.gy/coxCompleteHigh",2),IMAGE("https://summerbingo.s.gy/cox" &amp; 'Accepted Drops'!BH3,2))</f>
        <v/>
      </c>
      <c r="AC13" s="29"/>
      <c r="AD13" s="29"/>
      <c r="AE13" s="29"/>
      <c r="AF13" s="30"/>
      <c r="AG13" s="33"/>
      <c r="AH13" s="3"/>
      <c r="AI13" s="3"/>
      <c r="AJ13" s="3"/>
      <c r="AK13" s="3"/>
      <c r="AL13" s="3"/>
      <c r="AM13" s="3"/>
      <c r="AN13" s="3"/>
      <c r="AO13" s="3"/>
      <c r="AP13" s="3"/>
      <c r="AQ13" s="3"/>
      <c r="AR13" s="3"/>
      <c r="AS13" s="3"/>
      <c r="AT13" s="3"/>
      <c r="AU13" s="3"/>
      <c r="AV13" s="2"/>
    </row>
    <row r="14" ht="18.75" customHeight="1">
      <c r="A14" s="2"/>
      <c r="B14" s="27"/>
      <c r="C14" s="34"/>
      <c r="G14" s="35"/>
      <c r="H14" s="34"/>
      <c r="L14" s="35"/>
      <c r="M14" s="34"/>
      <c r="Q14" s="35"/>
      <c r="R14" s="34"/>
      <c r="V14" s="35"/>
      <c r="W14" s="34"/>
      <c r="AA14" s="35"/>
      <c r="AB14" s="34"/>
      <c r="AF14" s="35"/>
      <c r="AG14" s="17"/>
      <c r="AH14" s="3"/>
      <c r="AI14" s="36"/>
      <c r="AJ14" s="37"/>
      <c r="AK14" s="37"/>
      <c r="AL14" s="37"/>
      <c r="AM14" s="37"/>
      <c r="AN14" s="37"/>
      <c r="AO14" s="37"/>
      <c r="AP14" s="37"/>
      <c r="AQ14" s="37"/>
      <c r="AR14" s="37"/>
      <c r="AS14" s="37"/>
      <c r="AT14" s="37"/>
      <c r="AU14" s="38"/>
      <c r="AV14" s="2"/>
    </row>
    <row r="15" ht="18.75" customHeight="1">
      <c r="A15" s="2"/>
      <c r="B15" s="27"/>
      <c r="C15" s="34"/>
      <c r="G15" s="35"/>
      <c r="H15" s="34"/>
      <c r="L15" s="35"/>
      <c r="M15" s="34"/>
      <c r="Q15" s="35"/>
      <c r="R15" s="34"/>
      <c r="V15" s="35"/>
      <c r="W15" s="34"/>
      <c r="AA15" s="35"/>
      <c r="AB15" s="34"/>
      <c r="AF15" s="35"/>
      <c r="AG15" s="17"/>
      <c r="AH15" s="3"/>
      <c r="AI15" s="39"/>
      <c r="AJ15" s="40"/>
      <c r="AK15" s="41"/>
      <c r="AL15" s="41"/>
      <c r="AM15" s="41"/>
      <c r="AN15" s="41"/>
      <c r="AO15" s="41"/>
      <c r="AP15" s="41"/>
      <c r="AQ15" s="41"/>
      <c r="AR15" s="41"/>
      <c r="AS15" s="41"/>
      <c r="AT15" s="42"/>
      <c r="AU15" s="43"/>
      <c r="AV15" s="2"/>
    </row>
    <row r="16" ht="18.75" customHeight="1">
      <c r="A16" s="2"/>
      <c r="B16" s="27"/>
      <c r="C16" s="34"/>
      <c r="G16" s="35"/>
      <c r="H16" s="34"/>
      <c r="L16" s="35"/>
      <c r="M16" s="34"/>
      <c r="Q16" s="35"/>
      <c r="R16" s="34"/>
      <c r="V16" s="35"/>
      <c r="W16" s="34"/>
      <c r="AA16" s="35"/>
      <c r="AB16" s="34"/>
      <c r="AF16" s="35"/>
      <c r="AG16" s="44"/>
      <c r="AH16" s="3"/>
      <c r="AI16" s="39"/>
      <c r="AJ16" s="45"/>
      <c r="AK16" s="46" t="s">
        <v>0</v>
      </c>
      <c r="AL16" s="11"/>
      <c r="AM16" s="11"/>
      <c r="AN16" s="11"/>
      <c r="AO16" s="11"/>
      <c r="AP16" s="11"/>
      <c r="AQ16" s="11"/>
      <c r="AR16" s="11"/>
      <c r="AS16" s="12"/>
      <c r="AT16" s="47"/>
      <c r="AU16" s="43"/>
      <c r="AV16" s="2"/>
    </row>
    <row r="17" ht="18.75" customHeight="1">
      <c r="A17" s="2"/>
      <c r="B17" s="27"/>
      <c r="C17" s="48"/>
      <c r="D17" s="49"/>
      <c r="E17" s="49"/>
      <c r="F17" s="49"/>
      <c r="G17" s="50"/>
      <c r="H17" s="48"/>
      <c r="I17" s="49"/>
      <c r="J17" s="49"/>
      <c r="K17" s="49"/>
      <c r="L17" s="50"/>
      <c r="M17" s="48"/>
      <c r="N17" s="49"/>
      <c r="O17" s="49"/>
      <c r="P17" s="49"/>
      <c r="Q17" s="50"/>
      <c r="R17" s="48"/>
      <c r="S17" s="49"/>
      <c r="T17" s="49"/>
      <c r="U17" s="49"/>
      <c r="V17" s="50"/>
      <c r="W17" s="48"/>
      <c r="X17" s="49"/>
      <c r="Y17" s="49"/>
      <c r="Z17" s="49"/>
      <c r="AA17" s="50"/>
      <c r="AB17" s="48"/>
      <c r="AC17" s="49"/>
      <c r="AD17" s="49"/>
      <c r="AE17" s="49"/>
      <c r="AF17" s="50"/>
      <c r="AG17" s="17"/>
      <c r="AH17" s="3"/>
      <c r="AI17" s="39"/>
      <c r="AJ17" s="45"/>
      <c r="AK17" s="51"/>
      <c r="AL17" s="52"/>
      <c r="AM17" s="52"/>
      <c r="AN17" s="52"/>
      <c r="AO17" s="52"/>
      <c r="AP17" s="52"/>
      <c r="AQ17" s="52"/>
      <c r="AR17" s="52"/>
      <c r="AS17" s="53"/>
      <c r="AT17" s="47"/>
      <c r="AU17" s="43"/>
      <c r="AV17" s="2"/>
    </row>
    <row r="18" ht="18.75" customHeight="1">
      <c r="A18" s="2"/>
      <c r="B18" s="27"/>
      <c r="C18" s="31" t="str">
        <f>IF('Accepted Drops'!J9&gt;='Accepted Drops'!L9,IMAGE("https://summerbingo.s.gy/bootsCompleteMed",2),IMAGE("https://summerbingo.s.gy/boots" &amp; 'Accepted Drops'!J9,2))</f>
        <v/>
      </c>
      <c r="D18" s="29"/>
      <c r="E18" s="29"/>
      <c r="F18" s="29"/>
      <c r="G18" s="30"/>
      <c r="H18" s="32" t="str">
        <f>IF('Accepted Drops'!T10&gt;='Accepted Drops'!V10,IMAGE("https://summerbingo.s.gy/yamaCompleteHigh",2),IMAGE("https://summerbingo.s.gy/yama" &amp; 'Accepted Drops'!T10,2))</f>
        <v/>
      </c>
      <c r="I18" s="29"/>
      <c r="J18" s="29"/>
      <c r="K18" s="29"/>
      <c r="L18" s="30"/>
      <c r="M18" s="28" t="str">
        <f>IF('Accepted Drops'!AD13&gt;='Accepted Drops'!AF13,IMAGE("https://summerbingo.s.gy/tempoCompleteLow",2),IMAGE("https://summerbingo.s.gy/tempo" &amp; 'Accepted Drops'!AD13,2))</f>
        <v/>
      </c>
      <c r="N18" s="29"/>
      <c r="O18" s="29"/>
      <c r="P18" s="29"/>
      <c r="Q18" s="30"/>
      <c r="R18" s="32" t="str">
        <f>IF('Accepted Drops'!AN8&gt;='Accepted Drops'!AP8,IMAGE("https://summerbingo.s.gy/tobCompleteHigh",2),IMAGE("https://summerbingo.s.gy/tob" &amp; 'Accepted Drops'!AN8,2))</f>
        <v/>
      </c>
      <c r="S18" s="29"/>
      <c r="T18" s="29"/>
      <c r="U18" s="29"/>
      <c r="V18" s="30"/>
      <c r="W18" s="31" t="str">
        <f>IF('Accepted Drops'!AX12&gt;='Accepted Drops'!AZ12,IMAGE("https://summerbingo.s.gy/mortimerCompleteMed",2),IMAGE("https://summerbingo.s.gy/mortimer" &amp; 'Accepted Drops'!AX12,2))</f>
        <v/>
      </c>
      <c r="X18" s="29"/>
      <c r="Y18" s="29"/>
      <c r="Z18" s="29"/>
      <c r="AA18" s="30"/>
      <c r="AB18" s="31" t="str">
        <f>IF('Accepted Drops'!BH20&gt;='Accepted Drops'!BJ20,IMAGE("https://summerbingo.s.gy/gorillasCompleteMed",2),IMAGE("https://summerbingo.s.gy/gorillas" &amp; 'Accepted Drops'!BH20,2))</f>
        <v/>
      </c>
      <c r="AC18" s="29"/>
      <c r="AD18" s="29"/>
      <c r="AE18" s="29"/>
      <c r="AF18" s="30"/>
      <c r="AG18" s="54"/>
      <c r="AH18" s="3"/>
      <c r="AI18" s="39"/>
      <c r="AJ18" s="45"/>
      <c r="AK18" s="55" t="s">
        <v>1</v>
      </c>
      <c r="AL18" s="56"/>
      <c r="AM18" s="56"/>
      <c r="AN18" s="56"/>
      <c r="AO18" s="56"/>
      <c r="AP18" s="56"/>
      <c r="AQ18" s="56"/>
      <c r="AR18" s="56"/>
      <c r="AS18" s="57"/>
      <c r="AT18" s="47"/>
      <c r="AU18" s="43"/>
      <c r="AV18" s="2"/>
    </row>
    <row r="19" ht="18.75" customHeight="1">
      <c r="A19" s="2"/>
      <c r="B19" s="27"/>
      <c r="C19" s="34"/>
      <c r="G19" s="35"/>
      <c r="H19" s="34"/>
      <c r="L19" s="35"/>
      <c r="M19" s="34"/>
      <c r="Q19" s="35"/>
      <c r="R19" s="34"/>
      <c r="V19" s="35"/>
      <c r="W19" s="34"/>
      <c r="AA19" s="35"/>
      <c r="AB19" s="34"/>
      <c r="AF19" s="35"/>
      <c r="AG19" s="17"/>
      <c r="AH19" s="3"/>
      <c r="AI19" s="39"/>
      <c r="AJ19" s="45"/>
      <c r="AK19" s="58"/>
      <c r="AS19" s="59"/>
      <c r="AT19" s="47"/>
      <c r="AU19" s="43"/>
      <c r="AV19" s="2"/>
    </row>
    <row r="20" ht="18.75" customHeight="1">
      <c r="A20" s="2"/>
      <c r="B20" s="27"/>
      <c r="C20" s="34"/>
      <c r="G20" s="35"/>
      <c r="H20" s="34"/>
      <c r="L20" s="35"/>
      <c r="M20" s="34"/>
      <c r="Q20" s="35"/>
      <c r="R20" s="34"/>
      <c r="V20" s="35"/>
      <c r="W20" s="34"/>
      <c r="AA20" s="35"/>
      <c r="AB20" s="34"/>
      <c r="AF20" s="35"/>
      <c r="AG20" s="17"/>
      <c r="AH20" s="3"/>
      <c r="AI20" s="39"/>
      <c r="AJ20" s="45"/>
      <c r="AK20" s="58"/>
      <c r="AS20" s="59"/>
      <c r="AT20" s="47"/>
      <c r="AU20" s="43"/>
      <c r="AV20" s="2"/>
    </row>
    <row r="21" ht="18.75" customHeight="1">
      <c r="A21" s="2"/>
      <c r="B21" s="27"/>
      <c r="C21" s="34"/>
      <c r="G21" s="35"/>
      <c r="H21" s="34"/>
      <c r="L21" s="35"/>
      <c r="M21" s="34"/>
      <c r="Q21" s="35"/>
      <c r="R21" s="34"/>
      <c r="V21" s="35"/>
      <c r="W21" s="34"/>
      <c r="AA21" s="35"/>
      <c r="AB21" s="34"/>
      <c r="AF21" s="35"/>
      <c r="AG21" s="17"/>
      <c r="AH21" s="3"/>
      <c r="AI21" s="39"/>
      <c r="AJ21" s="45"/>
      <c r="AK21" s="58"/>
      <c r="AS21" s="59"/>
      <c r="AT21" s="47"/>
      <c r="AU21" s="43"/>
      <c r="AV21" s="2"/>
    </row>
    <row r="22" ht="18.75" customHeight="1">
      <c r="A22" s="2"/>
      <c r="B22" s="27"/>
      <c r="C22" s="48"/>
      <c r="D22" s="49"/>
      <c r="E22" s="49"/>
      <c r="F22" s="49"/>
      <c r="G22" s="50"/>
      <c r="H22" s="48"/>
      <c r="I22" s="49"/>
      <c r="J22" s="49"/>
      <c r="K22" s="49"/>
      <c r="L22" s="50"/>
      <c r="M22" s="48"/>
      <c r="N22" s="49"/>
      <c r="O22" s="49"/>
      <c r="P22" s="49"/>
      <c r="Q22" s="50"/>
      <c r="R22" s="48"/>
      <c r="S22" s="49"/>
      <c r="T22" s="49"/>
      <c r="U22" s="49"/>
      <c r="V22" s="50"/>
      <c r="W22" s="48"/>
      <c r="X22" s="49"/>
      <c r="Y22" s="49"/>
      <c r="Z22" s="49"/>
      <c r="AA22" s="50"/>
      <c r="AB22" s="48"/>
      <c r="AC22" s="49"/>
      <c r="AD22" s="49"/>
      <c r="AE22" s="49"/>
      <c r="AF22" s="50"/>
      <c r="AG22" s="17"/>
      <c r="AH22" s="3"/>
      <c r="AI22" s="39"/>
      <c r="AJ22" s="45"/>
      <c r="AK22" s="58"/>
      <c r="AS22" s="59"/>
      <c r="AT22" s="47"/>
      <c r="AU22" s="43"/>
      <c r="AV22" s="2"/>
    </row>
    <row r="23" ht="18.75" customHeight="1">
      <c r="A23" s="2"/>
      <c r="B23" s="27"/>
      <c r="C23" s="32" t="str">
        <f>IF('Accepted Drops'!J17&gt;='Accepted Drops'!L17,IMAGE("https://summerbingo.s.gy/gwdCompleteHigh",2),IMAGE("https://summerbingo.s.gy/gwd" &amp; 'Accepted Drops'!J17,2))</f>
        <v/>
      </c>
      <c r="D23" s="29"/>
      <c r="E23" s="29"/>
      <c r="F23" s="29"/>
      <c r="G23" s="30"/>
      <c r="H23" s="31" t="str">
        <f>IF('Accepted Drops'!T16&gt;='Accepted Drops'!V16,IMAGE("https://summerbingo.s.gy/vorkathCompleteMed",2),IMAGE("https://summerbingo.s.gy/vorkath" &amp; 'Accepted Drops'!T16,2))</f>
        <v/>
      </c>
      <c r="I23" s="29"/>
      <c r="J23" s="29"/>
      <c r="K23" s="29"/>
      <c r="L23" s="30"/>
      <c r="M23" s="60" t="str">
        <f>IF('Accepted Drops'!AD23&gt;='Accepted Drops'!AF23,IMAGE("https://summerbingo.s.gy/toaCompleteHigh",2),IMAGE("https://summerbingo.s.gy/toa" &amp; 'Accepted Drops'!AD23,2))</f>
        <v/>
      </c>
      <c r="Q23" s="35"/>
      <c r="R23" s="61" t="str">
        <f>IF('Accepted Drops'!AN21&gt;='Accepted Drops'!AP21,IMAGE("https://summerbingo.s.gy/GOTRCompleteLow",2),IMAGE("https://summerbingo.s.gy/GOTR" &amp; 'Accepted Drops'!AN21,2))</f>
        <v/>
      </c>
      <c r="V23" s="35"/>
      <c r="W23" s="62" t="str">
        <f>IF('Accepted Drops'!AX39&gt;='Accepted Drops'!AZ39,IMAGE("https://summerbingo.s.gy/muspahCompleteMed",2),IMAGE("https://summerbingo.s.gy/muspah" &amp; 'Accepted Drops'!AX39,2))</f>
        <v/>
      </c>
      <c r="AA23" s="35"/>
      <c r="AB23" s="61" t="str">
        <f>IF('Accepted Drops'!BH29&gt;='Accepted Drops'!BJ29,IMAGE("https://summerbingo.s.gy/titansCompleteLow",2),IMAGE("https://summerbingo.s.gy/titans" &amp; 'Accepted Drops'!BH29,2))</f>
        <v/>
      </c>
      <c r="AF23" s="35"/>
      <c r="AG23" s="54"/>
      <c r="AH23" s="3"/>
      <c r="AI23" s="39"/>
      <c r="AJ23" s="45"/>
      <c r="AK23" s="58"/>
      <c r="AS23" s="59"/>
      <c r="AT23" s="47"/>
      <c r="AU23" s="43"/>
      <c r="AV23" s="2"/>
    </row>
    <row r="24" ht="18.75" customHeight="1">
      <c r="A24" s="2"/>
      <c r="B24" s="27"/>
      <c r="C24" s="34"/>
      <c r="G24" s="35"/>
      <c r="H24" s="34"/>
      <c r="L24" s="35"/>
      <c r="M24" s="34"/>
      <c r="Q24" s="35"/>
      <c r="R24" s="34"/>
      <c r="V24" s="35"/>
      <c r="W24" s="34"/>
      <c r="AA24" s="35"/>
      <c r="AB24" s="34"/>
      <c r="AF24" s="35"/>
      <c r="AG24" s="17"/>
      <c r="AH24" s="3"/>
      <c r="AI24" s="39"/>
      <c r="AJ24" s="45"/>
      <c r="AK24" s="58"/>
      <c r="AS24" s="59"/>
      <c r="AT24" s="47"/>
      <c r="AU24" s="43"/>
      <c r="AV24" s="2"/>
    </row>
    <row r="25" ht="18.75" customHeight="1">
      <c r="A25" s="2"/>
      <c r="B25" s="27"/>
      <c r="C25" s="34"/>
      <c r="G25" s="35"/>
      <c r="H25" s="34"/>
      <c r="L25" s="35"/>
      <c r="M25" s="34"/>
      <c r="Q25" s="35"/>
      <c r="R25" s="34"/>
      <c r="V25" s="35"/>
      <c r="W25" s="34"/>
      <c r="AA25" s="35"/>
      <c r="AB25" s="34"/>
      <c r="AF25" s="35"/>
      <c r="AG25" s="17"/>
      <c r="AH25" s="3"/>
      <c r="AI25" s="39"/>
      <c r="AJ25" s="45"/>
      <c r="AK25" s="58"/>
      <c r="AS25" s="59"/>
      <c r="AT25" s="47"/>
      <c r="AU25" s="43"/>
      <c r="AV25" s="2"/>
    </row>
    <row r="26" ht="18.75" customHeight="1">
      <c r="A26" s="2"/>
      <c r="B26" s="27"/>
      <c r="C26" s="34"/>
      <c r="G26" s="35"/>
      <c r="H26" s="34"/>
      <c r="L26" s="35"/>
      <c r="M26" s="34"/>
      <c r="Q26" s="35"/>
      <c r="R26" s="34"/>
      <c r="V26" s="35"/>
      <c r="W26" s="34"/>
      <c r="AA26" s="35"/>
      <c r="AB26" s="34"/>
      <c r="AF26" s="35"/>
      <c r="AG26" s="17"/>
      <c r="AH26" s="3"/>
      <c r="AI26" s="39"/>
      <c r="AJ26" s="45"/>
      <c r="AK26" s="58"/>
      <c r="AS26" s="59"/>
      <c r="AT26" s="47"/>
      <c r="AU26" s="43"/>
      <c r="AV26" s="2"/>
    </row>
    <row r="27" ht="18.75" customHeight="1">
      <c r="A27" s="2"/>
      <c r="B27" s="63"/>
      <c r="C27" s="48"/>
      <c r="D27" s="49"/>
      <c r="E27" s="49"/>
      <c r="F27" s="49"/>
      <c r="G27" s="50"/>
      <c r="H27" s="48"/>
      <c r="I27" s="49"/>
      <c r="J27" s="49"/>
      <c r="K27" s="49"/>
      <c r="L27" s="50"/>
      <c r="M27" s="48"/>
      <c r="N27" s="49"/>
      <c r="O27" s="49"/>
      <c r="P27" s="49"/>
      <c r="Q27" s="50"/>
      <c r="R27" s="48"/>
      <c r="S27" s="49"/>
      <c r="T27" s="49"/>
      <c r="U27" s="49"/>
      <c r="V27" s="50"/>
      <c r="W27" s="48"/>
      <c r="X27" s="49"/>
      <c r="Y27" s="49"/>
      <c r="Z27" s="49"/>
      <c r="AA27" s="50"/>
      <c r="AB27" s="48"/>
      <c r="AC27" s="49"/>
      <c r="AD27" s="49"/>
      <c r="AE27" s="49"/>
      <c r="AF27" s="50"/>
      <c r="AG27" s="17"/>
      <c r="AH27" s="3"/>
      <c r="AI27" s="39"/>
      <c r="AJ27" s="45"/>
      <c r="AK27" s="58"/>
      <c r="AS27" s="59"/>
      <c r="AT27" s="47"/>
      <c r="AU27" s="43"/>
      <c r="AV27" s="2"/>
    </row>
    <row r="28" ht="18.75" customHeight="1">
      <c r="A28" s="2"/>
      <c r="B28" s="27"/>
      <c r="C28" s="28" t="str">
        <f>IF('Accepted Drops'!J37&gt;='Accepted Drops'!L37,IMAGE("https://summerbingo.s.gy/wtCompleteLow",2),IMAGE("https://summerbingo.s.gy/wt" &amp; 'Accepted Drops'!J37,2))</f>
        <v/>
      </c>
      <c r="D28" s="29"/>
      <c r="E28" s="29"/>
      <c r="F28" s="29"/>
      <c r="G28" s="30"/>
      <c r="H28" s="64" t="str">
        <f>IF('Accepted Drops'!T25&gt;='Accepted Drops'!V25,IMAGE("https://summerbingo.s.gy/araxxorCompleteHigh",2),IMAGE("https://summerbingo.s.gy/araxxor" &amp; 'Accepted Drops'!T25,2))</f>
        <v/>
      </c>
      <c r="I28" s="29"/>
      <c r="J28" s="29"/>
      <c r="K28" s="29"/>
      <c r="L28" s="30"/>
      <c r="M28" s="31" t="str">
        <f>IF('Accepted Drops'!AD32&gt;='Accepted Drops'!AF32,IMAGE("https://summerbingo.s.gy/zulrahCompleteMed",2),IMAGE("https://summerbingo.s.gy/zulrah" &amp; 'Accepted Drops'!AD32,2))</f>
        <v/>
      </c>
      <c r="N28" s="29"/>
      <c r="O28" s="29"/>
      <c r="P28" s="29"/>
      <c r="Q28" s="30"/>
      <c r="R28" s="28" t="str">
        <f>IF('Accepted Drops'!AN30&gt;='Accepted Drops'!AP30,IMAGE("https://summerbingo.s.gy/zombiesCompleteLow",2),IMAGE("https://summerbingo.s.gy/zombies" &amp; 'Accepted Drops'!AN30,2))</f>
        <v/>
      </c>
      <c r="S28" s="29"/>
      <c r="T28" s="29"/>
      <c r="U28" s="29"/>
      <c r="V28" s="30"/>
      <c r="W28" s="32" t="str">
        <f>IF('Accepted Drops'!AX44&gt;='Accepted Drops'!AZ44,IMAGE("https://summerbingo.s.gy/doomCompleteHigh",2),IMAGE("https://summerbingo.s.gy/doom" &amp; 'Accepted Drops'!AX44,2))</f>
        <v/>
      </c>
      <c r="X28" s="29"/>
      <c r="Y28" s="29"/>
      <c r="Z28" s="29"/>
      <c r="AA28" s="30"/>
      <c r="AB28" s="65" t="str">
        <f>IF('Accepted Drops'!BH37&gt;='Accepted Drops'!BJ37,IMAGE("https://summerbingo.s.gy/sireCompleteMed",2),IMAGE("https://summerbingo.s.gy/sire" &amp; 'Accepted Drops'!BH37,2))</f>
        <v/>
      </c>
      <c r="AC28" s="29"/>
      <c r="AD28" s="29"/>
      <c r="AE28" s="29"/>
      <c r="AF28" s="30"/>
      <c r="AG28" s="54"/>
      <c r="AH28" s="3"/>
      <c r="AI28" s="39"/>
      <c r="AJ28" s="45"/>
      <c r="AK28" s="58"/>
      <c r="AS28" s="59"/>
      <c r="AT28" s="47"/>
      <c r="AU28" s="43"/>
      <c r="AV28" s="2"/>
    </row>
    <row r="29" ht="18.75" customHeight="1">
      <c r="A29" s="2"/>
      <c r="B29" s="27"/>
      <c r="C29" s="34"/>
      <c r="G29" s="35"/>
      <c r="L29" s="35"/>
      <c r="M29" s="34"/>
      <c r="Q29" s="35"/>
      <c r="R29" s="34"/>
      <c r="V29" s="35"/>
      <c r="W29" s="34"/>
      <c r="AA29" s="35"/>
      <c r="AF29" s="35"/>
      <c r="AG29" s="17"/>
      <c r="AH29" s="3"/>
      <c r="AI29" s="39"/>
      <c r="AJ29" s="45"/>
      <c r="AK29" s="58"/>
      <c r="AS29" s="59"/>
      <c r="AT29" s="47"/>
      <c r="AU29" s="43"/>
      <c r="AV29" s="2"/>
    </row>
    <row r="30" ht="18.75" customHeight="1">
      <c r="A30" s="2"/>
      <c r="B30" s="27"/>
      <c r="C30" s="34"/>
      <c r="G30" s="35"/>
      <c r="L30" s="35"/>
      <c r="M30" s="34"/>
      <c r="Q30" s="35"/>
      <c r="R30" s="34"/>
      <c r="V30" s="35"/>
      <c r="W30" s="34"/>
      <c r="AA30" s="35"/>
      <c r="AF30" s="35"/>
      <c r="AG30" s="17"/>
      <c r="AH30" s="3"/>
      <c r="AI30" s="39"/>
      <c r="AJ30" s="45"/>
      <c r="AK30" s="58"/>
      <c r="AS30" s="59"/>
      <c r="AT30" s="47"/>
      <c r="AU30" s="43"/>
      <c r="AV30" s="2"/>
    </row>
    <row r="31" ht="18.75" customHeight="1">
      <c r="A31" s="2"/>
      <c r="B31" s="27"/>
      <c r="C31" s="34"/>
      <c r="G31" s="35"/>
      <c r="L31" s="35"/>
      <c r="M31" s="34"/>
      <c r="Q31" s="35"/>
      <c r="R31" s="34"/>
      <c r="V31" s="35"/>
      <c r="W31" s="34"/>
      <c r="AA31" s="35"/>
      <c r="AF31" s="35"/>
      <c r="AG31" s="17"/>
      <c r="AH31" s="3"/>
      <c r="AI31" s="39"/>
      <c r="AJ31" s="45"/>
      <c r="AK31" s="58"/>
      <c r="AS31" s="59"/>
      <c r="AT31" s="47"/>
      <c r="AU31" s="43"/>
      <c r="AV31" s="2"/>
    </row>
    <row r="32" ht="18.75" customHeight="1">
      <c r="A32" s="2"/>
      <c r="B32" s="27"/>
      <c r="C32" s="48"/>
      <c r="D32" s="49"/>
      <c r="E32" s="49"/>
      <c r="F32" s="49"/>
      <c r="G32" s="50"/>
      <c r="H32" s="49"/>
      <c r="I32" s="49"/>
      <c r="J32" s="49"/>
      <c r="K32" s="49"/>
      <c r="L32" s="50"/>
      <c r="M32" s="48"/>
      <c r="N32" s="49"/>
      <c r="O32" s="49"/>
      <c r="P32" s="49"/>
      <c r="Q32" s="50"/>
      <c r="R32" s="48"/>
      <c r="S32" s="49"/>
      <c r="T32" s="49"/>
      <c r="U32" s="49"/>
      <c r="V32" s="50"/>
      <c r="W32" s="48"/>
      <c r="X32" s="49"/>
      <c r="Y32" s="49"/>
      <c r="Z32" s="49"/>
      <c r="AA32" s="50"/>
      <c r="AB32" s="49"/>
      <c r="AC32" s="49"/>
      <c r="AD32" s="49"/>
      <c r="AE32" s="49"/>
      <c r="AF32" s="50"/>
      <c r="AG32" s="17"/>
      <c r="AH32" s="3"/>
      <c r="AI32" s="39"/>
      <c r="AJ32" s="45"/>
      <c r="AK32" s="58"/>
      <c r="AS32" s="59"/>
      <c r="AT32" s="47"/>
      <c r="AU32" s="43"/>
      <c r="AV32" s="2"/>
    </row>
    <row r="33" ht="18.75" customHeight="1">
      <c r="A33" s="2"/>
      <c r="B33" s="63"/>
      <c r="C33" s="32" t="str">
        <f>IF('Accepted Drops'!J43&gt;='Accepted Drops'!L43,IMAGE("https://summerbingo.s.gy/hydraCompleteHigh",2),IMAGE("https://summerbingo.s.gy/hydra" &amp; 'Accepted Drops'!J43,2))</f>
        <v/>
      </c>
      <c r="D33" s="29"/>
      <c r="E33" s="29"/>
      <c r="F33" s="29"/>
      <c r="G33" s="30"/>
      <c r="H33" s="31" t="str">
        <f>IF('Accepted Drops'!T33&gt;='Accepted Drops'!V33,IMAGE("https://summerbingo.s.gy/zalcanoCompleteMed",2),IMAGE("https://summerbingo.s.gy/zalcano" &amp; 'Accepted Drops'!T33,2))</f>
        <v/>
      </c>
      <c r="I33" s="29"/>
      <c r="J33" s="29"/>
      <c r="K33" s="29"/>
      <c r="L33" s="30"/>
      <c r="M33" s="28" t="str">
        <f>IF('Accepted Drops'!AD42&gt;='Accepted Drops'!AF42,IMAGE("https://summerbingo.s.gy/scurriusCompleteLow",2),IMAGE("https://summerbingo.s.gy/scurrius" &amp; 'Accepted Drops'!AD42,2))</f>
        <v/>
      </c>
      <c r="N33" s="29"/>
      <c r="O33" s="29"/>
      <c r="P33" s="29"/>
      <c r="Q33" s="30"/>
      <c r="R33" s="31" t="str">
        <f>IF('Accepted Drops'!AN35&gt;='Accepted Drops'!AP35,IMAGE("https://summerbingo.s.gy/gauntletCompleteMed",2),IMAGE("https://summerbingo.s.gy/gauntlet" &amp; 'Accepted Drops'!AN35,2))</f>
        <v/>
      </c>
      <c r="S33" s="29"/>
      <c r="T33" s="29"/>
      <c r="U33" s="29"/>
      <c r="V33" s="30"/>
      <c r="W33" s="28" t="str">
        <f>IF('Accepted Drops'!AX52&gt;='Accepted Drops'!AZ52,IMAGE("https://summerbingo.s.gy/toolsCompleteLow",2),IMAGE("https://summerbingo.s.gy/tools" &amp; 'Accepted Drops'!AX52,2))</f>
        <v/>
      </c>
      <c r="X33" s="29"/>
      <c r="Y33" s="29"/>
      <c r="Z33" s="29"/>
      <c r="AA33" s="30"/>
      <c r="AB33" s="65" t="str">
        <f>IF('Accepted Drops'!BH41&gt;='Accepted Drops'!BJ41,IMAGE("https://summerbingo.s.gy/maggotCompleteHigh",2),IMAGE("https://summerbingo.s.gy/maggot" &amp; 'Accepted Drops'!BH41,2))</f>
        <v/>
      </c>
      <c r="AC33" s="29"/>
      <c r="AD33" s="29"/>
      <c r="AE33" s="29"/>
      <c r="AF33" s="30"/>
      <c r="AG33" s="54"/>
      <c r="AH33" s="3"/>
      <c r="AI33" s="39"/>
      <c r="AJ33" s="45"/>
      <c r="AK33" s="58"/>
      <c r="AS33" s="59"/>
      <c r="AT33" s="47"/>
      <c r="AU33" s="43"/>
      <c r="AV33" s="2"/>
    </row>
    <row r="34" ht="18.75" customHeight="1">
      <c r="A34" s="2"/>
      <c r="B34" s="27"/>
      <c r="C34" s="34"/>
      <c r="G34" s="35"/>
      <c r="H34" s="34"/>
      <c r="L34" s="35"/>
      <c r="M34" s="34"/>
      <c r="Q34" s="35"/>
      <c r="R34" s="34"/>
      <c r="V34" s="35"/>
      <c r="W34" s="34"/>
      <c r="AA34" s="35"/>
      <c r="AF34" s="35"/>
      <c r="AG34" s="17"/>
      <c r="AH34" s="3"/>
      <c r="AI34" s="39"/>
      <c r="AJ34" s="45"/>
      <c r="AK34" s="58"/>
      <c r="AS34" s="59"/>
      <c r="AT34" s="47"/>
      <c r="AU34" s="43"/>
      <c r="AV34" s="2"/>
    </row>
    <row r="35" ht="18.75" customHeight="1">
      <c r="A35" s="2"/>
      <c r="B35" s="27"/>
      <c r="C35" s="34"/>
      <c r="G35" s="35"/>
      <c r="H35" s="34"/>
      <c r="L35" s="35"/>
      <c r="M35" s="34"/>
      <c r="Q35" s="35"/>
      <c r="R35" s="34"/>
      <c r="V35" s="35"/>
      <c r="W35" s="34"/>
      <c r="AA35" s="35"/>
      <c r="AF35" s="35"/>
      <c r="AG35" s="17"/>
      <c r="AH35" s="3"/>
      <c r="AI35" s="39"/>
      <c r="AJ35" s="45"/>
      <c r="AK35" s="58"/>
      <c r="AS35" s="59"/>
      <c r="AT35" s="47"/>
      <c r="AU35" s="43"/>
      <c r="AV35" s="2"/>
    </row>
    <row r="36" ht="18.75" customHeight="1">
      <c r="A36" s="2"/>
      <c r="B36" s="27"/>
      <c r="C36" s="34"/>
      <c r="G36" s="35"/>
      <c r="H36" s="34"/>
      <c r="L36" s="35"/>
      <c r="M36" s="34"/>
      <c r="Q36" s="35"/>
      <c r="R36" s="34"/>
      <c r="V36" s="35"/>
      <c r="W36" s="34"/>
      <c r="AA36" s="35"/>
      <c r="AF36" s="35"/>
      <c r="AG36" s="17"/>
      <c r="AH36" s="3"/>
      <c r="AI36" s="39"/>
      <c r="AJ36" s="45"/>
      <c r="AK36" s="58"/>
      <c r="AS36" s="59"/>
      <c r="AT36" s="47"/>
      <c r="AU36" s="43"/>
      <c r="AV36" s="2"/>
    </row>
    <row r="37" ht="18.75" customHeight="1">
      <c r="A37" s="2"/>
      <c r="B37" s="27"/>
      <c r="C37" s="48"/>
      <c r="D37" s="49"/>
      <c r="E37" s="49"/>
      <c r="F37" s="49"/>
      <c r="G37" s="50"/>
      <c r="H37" s="48"/>
      <c r="I37" s="49"/>
      <c r="J37" s="49"/>
      <c r="K37" s="49"/>
      <c r="L37" s="50"/>
      <c r="M37" s="48"/>
      <c r="N37" s="49"/>
      <c r="O37" s="49"/>
      <c r="P37" s="49"/>
      <c r="Q37" s="50"/>
      <c r="R37" s="48"/>
      <c r="S37" s="49"/>
      <c r="T37" s="49"/>
      <c r="U37" s="49"/>
      <c r="V37" s="50"/>
      <c r="W37" s="48"/>
      <c r="X37" s="49"/>
      <c r="Y37" s="49"/>
      <c r="Z37" s="49"/>
      <c r="AA37" s="50"/>
      <c r="AB37" s="49"/>
      <c r="AC37" s="49"/>
      <c r="AD37" s="49"/>
      <c r="AE37" s="49"/>
      <c r="AF37" s="50"/>
      <c r="AG37" s="17"/>
      <c r="AH37" s="3"/>
      <c r="AI37" s="39"/>
      <c r="AJ37" s="45"/>
      <c r="AK37" s="58"/>
      <c r="AS37" s="59"/>
      <c r="AT37" s="47"/>
      <c r="AU37" s="43"/>
      <c r="AV37" s="2"/>
    </row>
    <row r="38" ht="18.75" customHeight="1">
      <c r="A38" s="2"/>
      <c r="B38" s="27"/>
      <c r="C38" s="31" t="str">
        <f>IF('Accepted Drops'!J52&gt;='Accepted Drops'!L52,IMAGE("https://summerbingo.s.gy/thievingCompleteMed",2),IMAGE("https://summerbingo.s.gy/thieving" &amp; 'Accepted Drops'!J52,2))</f>
        <v/>
      </c>
      <c r="D38" s="29"/>
      <c r="E38" s="29"/>
      <c r="F38" s="29"/>
      <c r="G38" s="30"/>
      <c r="H38" s="28" t="str">
        <f>IF('Accepted Drops'!T40&gt;='Accepted Drops'!V40,IMAGE("https://summerbingo.s.gy/barrowsCompleteLow",2),IMAGE("https://summerbingo.s.gy/barrows" &amp; 'Accepted Drops'!T40,2))</f>
        <v/>
      </c>
      <c r="I38" s="29"/>
      <c r="J38" s="29"/>
      <c r="K38" s="29"/>
      <c r="L38" s="30"/>
      <c r="M38" s="32" t="str">
        <f>IF('Accepted Drops'!AD47&gt;='Accepted Drops'!AF47,IMAGE("https://summerbingo.s.gy/dt2_CompleteHigh",2),IMAGE("https://summerbingo.s.gy/dt2_" &amp; 'Accepted Drops'!AD47,2))</f>
        <v/>
      </c>
      <c r="N38" s="29"/>
      <c r="O38" s="29"/>
      <c r="P38" s="29"/>
      <c r="Q38" s="30"/>
      <c r="R38" s="32" t="str">
        <f>IF('Accepted Drops'!AN42&gt;='Accepted Drops'!AP42,IMAGE("https://summerbingo.s.gy/wildCompleteHigh",2),IMAGE("https://summerbingo.s.gy/wild" &amp; 'Accepted Drops'!AN42,2))</f>
        <v/>
      </c>
      <c r="S38" s="29"/>
      <c r="T38" s="29"/>
      <c r="U38" s="29"/>
      <c r="V38" s="30"/>
      <c r="W38" s="31" t="str">
        <f>IF('Accepted Drops'!AX58&gt;='Accepted Drops'!AZ58,IMAGE("https://summerbingo.s.gy/dksCompleteMed",2),IMAGE("https://summerbingo.s.gy/dks" &amp; 'Accepted Drops'!AX58,2))</f>
        <v/>
      </c>
      <c r="X38" s="29"/>
      <c r="Y38" s="29"/>
      <c r="Z38" s="29"/>
      <c r="AA38" s="30"/>
      <c r="AB38" s="28" t="str">
        <f>IF('Accepted Drops'!BH47&gt;='Accepted Drops'!BJ47,IMAGE("https://summerbingo.s.gy/moonsCompleteLow",2),IMAGE("https://summerbingo.s.gy/moons" &amp; 'Accepted Drops'!BH47,2))</f>
        <v/>
      </c>
      <c r="AC38" s="29"/>
      <c r="AD38" s="29"/>
      <c r="AE38" s="29"/>
      <c r="AF38" s="30"/>
      <c r="AG38" s="54"/>
      <c r="AH38" s="3"/>
      <c r="AI38" s="39"/>
      <c r="AJ38" s="45"/>
      <c r="AK38" s="58"/>
      <c r="AS38" s="59"/>
      <c r="AT38" s="47"/>
      <c r="AU38" s="43"/>
      <c r="AV38" s="2"/>
    </row>
    <row r="39" ht="18.75" customHeight="1">
      <c r="A39" s="2"/>
      <c r="B39" s="27"/>
      <c r="C39" s="34"/>
      <c r="G39" s="35"/>
      <c r="H39" s="34"/>
      <c r="L39" s="35"/>
      <c r="M39" s="34"/>
      <c r="Q39" s="35"/>
      <c r="R39" s="34"/>
      <c r="V39" s="35"/>
      <c r="W39" s="34"/>
      <c r="AA39" s="35"/>
      <c r="AB39" s="34"/>
      <c r="AF39" s="35"/>
      <c r="AG39" s="17"/>
      <c r="AH39" s="3"/>
      <c r="AI39" s="39"/>
      <c r="AJ39" s="45"/>
      <c r="AK39" s="58"/>
      <c r="AS39" s="59"/>
      <c r="AT39" s="47"/>
      <c r="AU39" s="43"/>
      <c r="AV39" s="2"/>
    </row>
    <row r="40" ht="18.75" customHeight="1">
      <c r="A40" s="2"/>
      <c r="B40" s="27"/>
      <c r="C40" s="34"/>
      <c r="G40" s="35"/>
      <c r="H40" s="34"/>
      <c r="L40" s="35"/>
      <c r="M40" s="34"/>
      <c r="Q40" s="35"/>
      <c r="R40" s="34"/>
      <c r="V40" s="35"/>
      <c r="W40" s="34"/>
      <c r="AA40" s="35"/>
      <c r="AB40" s="34"/>
      <c r="AF40" s="35"/>
      <c r="AG40" s="17"/>
      <c r="AH40" s="3"/>
      <c r="AI40" s="39"/>
      <c r="AJ40" s="45"/>
      <c r="AK40" s="58"/>
      <c r="AS40" s="59"/>
      <c r="AT40" s="47"/>
      <c r="AU40" s="43"/>
      <c r="AV40" s="2"/>
    </row>
    <row r="41" ht="18.75" customHeight="1">
      <c r="A41" s="2"/>
      <c r="B41" s="27"/>
      <c r="C41" s="34"/>
      <c r="G41" s="35"/>
      <c r="H41" s="34"/>
      <c r="L41" s="35"/>
      <c r="M41" s="34"/>
      <c r="Q41" s="35"/>
      <c r="R41" s="34"/>
      <c r="V41" s="35"/>
      <c r="W41" s="34"/>
      <c r="AA41" s="35"/>
      <c r="AB41" s="34"/>
      <c r="AF41" s="35"/>
      <c r="AG41" s="17"/>
      <c r="AH41" s="3"/>
      <c r="AI41" s="66"/>
      <c r="AJ41" s="45"/>
      <c r="AK41" s="58"/>
      <c r="AS41" s="59"/>
      <c r="AT41" s="47"/>
      <c r="AU41" s="67"/>
      <c r="AV41" s="2"/>
    </row>
    <row r="42" ht="18.75" customHeight="1">
      <c r="A42" s="2"/>
      <c r="B42" s="27"/>
      <c r="C42" s="48"/>
      <c r="D42" s="49"/>
      <c r="E42" s="49"/>
      <c r="F42" s="49"/>
      <c r="G42" s="50"/>
      <c r="H42" s="48"/>
      <c r="I42" s="49"/>
      <c r="J42" s="49"/>
      <c r="K42" s="49"/>
      <c r="L42" s="50"/>
      <c r="M42" s="48"/>
      <c r="N42" s="49"/>
      <c r="O42" s="49"/>
      <c r="P42" s="49"/>
      <c r="Q42" s="50"/>
      <c r="R42" s="48"/>
      <c r="S42" s="49"/>
      <c r="T42" s="49"/>
      <c r="U42" s="49"/>
      <c r="V42" s="50"/>
      <c r="W42" s="48"/>
      <c r="X42" s="49"/>
      <c r="Y42" s="49"/>
      <c r="Z42" s="49"/>
      <c r="AA42" s="50"/>
      <c r="AB42" s="48"/>
      <c r="AC42" s="49"/>
      <c r="AD42" s="49"/>
      <c r="AE42" s="49"/>
      <c r="AF42" s="50"/>
      <c r="AG42" s="17"/>
      <c r="AH42" s="3"/>
      <c r="AI42" s="39"/>
      <c r="AJ42" s="45"/>
      <c r="AK42" s="58"/>
      <c r="AS42" s="59"/>
      <c r="AT42" s="47"/>
      <c r="AU42" s="43"/>
      <c r="AV42" s="2"/>
    </row>
    <row r="43" ht="18.75" customHeight="1">
      <c r="A43" s="2"/>
      <c r="B43" s="27"/>
      <c r="C43" s="4"/>
      <c r="D43" s="4"/>
      <c r="E43" s="4"/>
      <c r="F43" s="17"/>
      <c r="G43" s="27"/>
      <c r="H43" s="4"/>
      <c r="I43" s="4"/>
      <c r="J43" s="4"/>
      <c r="K43" s="17"/>
      <c r="L43" s="27"/>
      <c r="M43" s="4"/>
      <c r="N43" s="4"/>
      <c r="O43" s="4"/>
      <c r="P43" s="17"/>
      <c r="Q43" s="27"/>
      <c r="R43" s="4"/>
      <c r="S43" s="4"/>
      <c r="T43" s="4"/>
      <c r="U43" s="17"/>
      <c r="V43" s="27"/>
      <c r="W43" s="4"/>
      <c r="X43" s="4"/>
      <c r="Y43" s="4"/>
      <c r="Z43" s="17"/>
      <c r="AA43" s="27"/>
      <c r="AB43" s="4"/>
      <c r="AC43" s="4"/>
      <c r="AD43" s="4"/>
      <c r="AE43" s="4"/>
      <c r="AF43" s="4"/>
      <c r="AG43" s="17"/>
      <c r="AH43" s="3"/>
      <c r="AI43" s="68"/>
      <c r="AJ43" s="69"/>
      <c r="AK43" s="58"/>
      <c r="AS43" s="59"/>
      <c r="AT43" s="70"/>
      <c r="AU43" s="71"/>
      <c r="AV43" s="72"/>
    </row>
    <row r="44" ht="18.75" customHeight="1">
      <c r="A44" s="2"/>
      <c r="B44" s="27"/>
      <c r="C44" s="24"/>
      <c r="D44" s="24"/>
      <c r="E44" s="24"/>
      <c r="F44" s="25"/>
      <c r="G44" s="73"/>
      <c r="H44" s="24"/>
      <c r="I44" s="24"/>
      <c r="J44" s="24"/>
      <c r="K44" s="25"/>
      <c r="L44" s="73"/>
      <c r="M44" s="24"/>
      <c r="N44" s="24"/>
      <c r="O44" s="24"/>
      <c r="P44" s="25"/>
      <c r="Q44" s="73"/>
      <c r="R44" s="24"/>
      <c r="S44" s="24"/>
      <c r="T44" s="24"/>
      <c r="U44" s="25"/>
      <c r="V44" s="73"/>
      <c r="W44" s="24"/>
      <c r="X44" s="24"/>
      <c r="Y44" s="24"/>
      <c r="Z44" s="25"/>
      <c r="AA44" s="73"/>
      <c r="AB44" s="24"/>
      <c r="AC44" s="24"/>
      <c r="AD44" s="24"/>
      <c r="AE44" s="24"/>
      <c r="AF44" s="24"/>
      <c r="AG44" s="17"/>
      <c r="AH44" s="3"/>
      <c r="AI44" s="68"/>
      <c r="AJ44" s="69"/>
      <c r="AK44" s="58"/>
      <c r="AS44" s="59"/>
      <c r="AT44" s="70"/>
      <c r="AU44" s="71"/>
      <c r="AV44" s="72"/>
    </row>
    <row r="45" ht="18.75" customHeight="1">
      <c r="A45" s="2"/>
      <c r="B45" s="27"/>
      <c r="C45" s="74" t="str">
        <f>IMAGE("https://summerbingo.s.gy/nex" &amp; 'Accepted Drops'!AO69,2)</f>
        <v/>
      </c>
      <c r="D45" s="29"/>
      <c r="E45" s="29"/>
      <c r="F45" s="29"/>
      <c r="G45" s="30"/>
      <c r="H45" s="74" t="str">
        <f>IMAGE("https://summerbingo.s.gy/pnm" &amp; 'Accepted Drops'!AE69,2)</f>
        <v/>
      </c>
      <c r="I45" s="29"/>
      <c r="J45" s="29"/>
      <c r="K45" s="29"/>
      <c r="L45" s="30"/>
      <c r="M45" s="74" t="str">
        <f>IMAGE("https://summerbingo.s.gy/mega" &amp; 'Accepted Drops'!U69,2)</f>
        <v/>
      </c>
      <c r="N45" s="29"/>
      <c r="O45" s="29"/>
      <c r="P45" s="29"/>
      <c r="Q45" s="30"/>
      <c r="R45" s="74" t="str">
        <f>IMAGE("https://summerbingo.s.gy/jpet" &amp; 'Accepted Drops'!K69,2)</f>
        <v/>
      </c>
      <c r="S45" s="29"/>
      <c r="T45" s="29"/>
      <c r="U45" s="29"/>
      <c r="V45" s="30"/>
      <c r="W45" s="74" t="str">
        <f>IMAGE("https://summerbingo.s.gy/colo" &amp; 'Accepted Drops'!BI69,2)</f>
        <v/>
      </c>
      <c r="X45" s="29"/>
      <c r="Y45" s="29"/>
      <c r="Z45" s="29"/>
      <c r="AA45" s="30"/>
      <c r="AB45" s="74" t="str">
        <f>IMAGE("https://summerbingo.s.gy/corp" &amp; 'Accepted Drops'!AY69,2)</f>
        <v/>
      </c>
      <c r="AC45" s="29"/>
      <c r="AD45" s="29"/>
      <c r="AE45" s="29"/>
      <c r="AF45" s="30"/>
      <c r="AG45" s="54"/>
      <c r="AH45" s="3"/>
      <c r="AI45" s="68"/>
      <c r="AJ45" s="69"/>
      <c r="AK45" s="58"/>
      <c r="AS45" s="59"/>
      <c r="AT45" s="70"/>
      <c r="AU45" s="71"/>
      <c r="AV45" s="72"/>
    </row>
    <row r="46" ht="18.75" customHeight="1">
      <c r="A46" s="2"/>
      <c r="B46" s="27"/>
      <c r="C46" s="34"/>
      <c r="G46" s="35"/>
      <c r="H46" s="34"/>
      <c r="L46" s="35"/>
      <c r="M46" s="34"/>
      <c r="Q46" s="35"/>
      <c r="R46" s="34"/>
      <c r="V46" s="35"/>
      <c r="W46" s="34"/>
      <c r="AA46" s="35"/>
      <c r="AB46" s="34"/>
      <c r="AF46" s="35"/>
      <c r="AG46" s="17"/>
      <c r="AH46" s="3"/>
      <c r="AI46" s="68"/>
      <c r="AJ46" s="69"/>
      <c r="AK46" s="58"/>
      <c r="AS46" s="59"/>
      <c r="AT46" s="70"/>
      <c r="AU46" s="71"/>
      <c r="AV46" s="72"/>
    </row>
    <row r="47" ht="18.75" customHeight="1">
      <c r="A47" s="2"/>
      <c r="B47" s="27"/>
      <c r="C47" s="34"/>
      <c r="G47" s="35"/>
      <c r="H47" s="34"/>
      <c r="L47" s="35"/>
      <c r="M47" s="34"/>
      <c r="Q47" s="35"/>
      <c r="R47" s="34"/>
      <c r="V47" s="35"/>
      <c r="W47" s="34"/>
      <c r="AA47" s="35"/>
      <c r="AB47" s="34"/>
      <c r="AF47" s="35"/>
      <c r="AG47" s="17"/>
      <c r="AH47" s="3"/>
      <c r="AI47" s="68"/>
      <c r="AJ47" s="69"/>
      <c r="AK47" s="58"/>
      <c r="AS47" s="59"/>
      <c r="AT47" s="70"/>
      <c r="AU47" s="71"/>
      <c r="AV47" s="3"/>
    </row>
    <row r="48" ht="18.75" customHeight="1">
      <c r="A48" s="2"/>
      <c r="B48" s="27"/>
      <c r="C48" s="34"/>
      <c r="G48" s="35"/>
      <c r="H48" s="34"/>
      <c r="L48" s="35"/>
      <c r="M48" s="34"/>
      <c r="Q48" s="35"/>
      <c r="R48" s="34"/>
      <c r="V48" s="35"/>
      <c r="W48" s="34"/>
      <c r="AA48" s="35"/>
      <c r="AB48" s="34"/>
      <c r="AF48" s="35"/>
      <c r="AG48" s="17"/>
      <c r="AH48" s="3"/>
      <c r="AI48" s="68"/>
      <c r="AJ48" s="69"/>
      <c r="AK48" s="75"/>
      <c r="AL48" s="76"/>
      <c r="AM48" s="76"/>
      <c r="AN48" s="76"/>
      <c r="AO48" s="76"/>
      <c r="AP48" s="76"/>
      <c r="AQ48" s="76"/>
      <c r="AR48" s="76"/>
      <c r="AS48" s="77"/>
      <c r="AT48" s="70"/>
      <c r="AU48" s="71"/>
      <c r="AV48" s="3"/>
    </row>
    <row r="49" ht="18.75" customHeight="1">
      <c r="A49" s="2"/>
      <c r="B49" s="27"/>
      <c r="C49" s="48"/>
      <c r="D49" s="49"/>
      <c r="E49" s="49"/>
      <c r="F49" s="49"/>
      <c r="G49" s="50"/>
      <c r="H49" s="48"/>
      <c r="I49" s="49"/>
      <c r="J49" s="49"/>
      <c r="K49" s="49"/>
      <c r="L49" s="50"/>
      <c r="M49" s="48"/>
      <c r="N49" s="49"/>
      <c r="O49" s="49"/>
      <c r="P49" s="49"/>
      <c r="Q49" s="50"/>
      <c r="R49" s="48"/>
      <c r="S49" s="49"/>
      <c r="T49" s="49"/>
      <c r="U49" s="49"/>
      <c r="V49" s="50"/>
      <c r="W49" s="48"/>
      <c r="X49" s="49"/>
      <c r="Y49" s="49"/>
      <c r="Z49" s="49"/>
      <c r="AA49" s="50"/>
      <c r="AB49" s="48"/>
      <c r="AC49" s="49"/>
      <c r="AD49" s="49"/>
      <c r="AE49" s="49"/>
      <c r="AF49" s="50"/>
      <c r="AG49" s="17"/>
      <c r="AH49" s="3"/>
      <c r="AI49" s="68"/>
      <c r="AJ49" s="78"/>
      <c r="AK49" s="79"/>
      <c r="AL49" s="80"/>
      <c r="AM49" s="79"/>
      <c r="AN49" s="79"/>
      <c r="AO49" s="80"/>
      <c r="AP49" s="80"/>
      <c r="AQ49" s="80"/>
      <c r="AR49" s="80"/>
      <c r="AS49" s="80"/>
      <c r="AT49" s="81"/>
      <c r="AU49" s="71"/>
      <c r="AV49" s="3"/>
    </row>
    <row r="50" ht="18.75" customHeight="1">
      <c r="A50" s="2"/>
      <c r="B50" s="4"/>
      <c r="C50" s="82"/>
      <c r="D50" s="82"/>
      <c r="E50" s="82"/>
      <c r="F50" s="82"/>
      <c r="G50" s="82"/>
      <c r="H50" s="82"/>
      <c r="I50" s="82"/>
      <c r="J50" s="82"/>
      <c r="K50" s="82"/>
      <c r="L50" s="82"/>
      <c r="M50" s="82"/>
      <c r="N50" s="82"/>
      <c r="O50" s="82"/>
      <c r="P50" s="82"/>
      <c r="Q50" s="82"/>
      <c r="R50" s="82"/>
      <c r="S50" s="82"/>
      <c r="T50" s="82"/>
      <c r="U50" s="82"/>
      <c r="V50" s="82"/>
      <c r="W50" s="82"/>
      <c r="X50" s="82"/>
      <c r="Y50" s="82"/>
      <c r="Z50" s="82"/>
      <c r="AA50" s="82"/>
      <c r="AB50" s="82"/>
      <c r="AC50" s="82"/>
      <c r="AD50" s="82"/>
      <c r="AE50" s="82"/>
      <c r="AF50" s="82"/>
      <c r="AG50" s="4"/>
      <c r="AH50" s="3"/>
      <c r="AI50" s="83"/>
      <c r="AJ50" s="84"/>
      <c r="AK50" s="85"/>
      <c r="AL50" s="84"/>
      <c r="AM50" s="85"/>
      <c r="AN50" s="85"/>
      <c r="AO50" s="84"/>
      <c r="AP50" s="84"/>
      <c r="AQ50" s="84"/>
      <c r="AR50" s="84"/>
      <c r="AS50" s="84"/>
      <c r="AT50" s="86"/>
      <c r="AU50" s="87"/>
      <c r="AV50" s="72"/>
    </row>
    <row r="51" ht="18.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3"/>
      <c r="AI51" s="88"/>
      <c r="AJ51" s="88"/>
      <c r="AK51" s="89"/>
      <c r="AL51" s="88"/>
      <c r="AM51" s="89"/>
      <c r="AN51" s="89"/>
      <c r="AO51" s="88"/>
      <c r="AP51" s="88"/>
      <c r="AQ51" s="88"/>
      <c r="AR51" s="88"/>
      <c r="AS51" s="88"/>
      <c r="AT51" s="72"/>
      <c r="AU51" s="72"/>
      <c r="AV51" s="72"/>
    </row>
    <row r="52" ht="18.75" hidden="1" customHeight="1">
      <c r="A52" s="2"/>
      <c r="B52" s="4"/>
      <c r="C52" s="4"/>
      <c r="D52" s="4"/>
      <c r="E52" s="4"/>
      <c r="F52" s="4"/>
      <c r="G52" s="4"/>
      <c r="H52" s="4"/>
      <c r="I52" s="4"/>
      <c r="J52" s="4"/>
      <c r="K52" s="4"/>
      <c r="L52" s="4"/>
      <c r="M52" s="4"/>
      <c r="N52" s="4"/>
      <c r="O52" s="4"/>
      <c r="P52" s="4"/>
      <c r="Q52" s="4"/>
      <c r="R52" s="82"/>
      <c r="S52" s="82"/>
      <c r="T52" s="82"/>
      <c r="U52" s="82"/>
      <c r="V52" s="82"/>
      <c r="W52" s="4"/>
      <c r="X52" s="4"/>
      <c r="Y52" s="4"/>
      <c r="Z52" s="4"/>
      <c r="AA52" s="4"/>
      <c r="AB52" s="4"/>
      <c r="AC52" s="4"/>
      <c r="AD52" s="4"/>
      <c r="AE52" s="4"/>
      <c r="AF52" s="4"/>
      <c r="AG52" s="82"/>
      <c r="AH52" s="3"/>
      <c r="AI52" s="88"/>
      <c r="AJ52" s="88"/>
      <c r="AK52" s="89"/>
      <c r="AL52" s="88"/>
      <c r="AM52" s="89"/>
      <c r="AN52" s="89"/>
      <c r="AO52" s="88"/>
      <c r="AP52" s="88"/>
      <c r="AQ52" s="88"/>
      <c r="AR52" s="88"/>
      <c r="AS52" s="88"/>
      <c r="AT52" s="72"/>
      <c r="AU52" s="72"/>
      <c r="AV52" s="72"/>
    </row>
    <row r="53" ht="18.75" hidden="1" customHeight="1">
      <c r="A53" s="2"/>
      <c r="B53" s="90"/>
      <c r="C53" s="91"/>
      <c r="D53" s="91"/>
      <c r="E53" s="91"/>
      <c r="F53" s="91"/>
      <c r="G53" s="91"/>
      <c r="H53" s="91"/>
      <c r="I53" s="91"/>
      <c r="J53" s="91"/>
      <c r="K53" s="91"/>
      <c r="L53" s="91"/>
      <c r="M53" s="91"/>
      <c r="N53" s="91"/>
      <c r="O53" s="91"/>
      <c r="P53" s="92"/>
      <c r="Q53" s="27"/>
      <c r="R53" s="4"/>
      <c r="S53" s="4"/>
      <c r="T53" s="4"/>
      <c r="U53" s="4"/>
      <c r="V53" s="4"/>
      <c r="W53" s="27"/>
      <c r="X53" s="27"/>
      <c r="Y53" s="27"/>
      <c r="Z53" s="4"/>
      <c r="AA53" s="4"/>
      <c r="AB53" s="4"/>
      <c r="AC53" s="4"/>
      <c r="AD53" s="4"/>
      <c r="AE53" s="93"/>
      <c r="AF53" s="94">
        <f>SUM(C55,H55,M55,R55,W55,AB55,AG55,C60,H60,M60,R60,W60,AB60,AG60,C65,H65,M65,R65,W65,AB65,AG65,C70,H70,M70,R70,W70,AB70,AG70,C75,H75,M75,R75,W75,AB75,AG75,C80,H80,M80,R80,W80,AB80,AG80,C85,H85,M85,R85,W85,AB85,C87,H87,M87,R87,W87,AB87)</f>
        <v>596</v>
      </c>
      <c r="AG53" s="4"/>
      <c r="AH53" s="3"/>
      <c r="AI53" s="3"/>
      <c r="AJ53" s="3"/>
      <c r="AK53" s="3"/>
      <c r="AL53" s="3"/>
      <c r="AM53" s="3"/>
      <c r="AN53" s="3"/>
      <c r="AO53" s="3"/>
      <c r="AP53" s="3"/>
      <c r="AQ53" s="3"/>
      <c r="AR53" s="3"/>
      <c r="AS53" s="3"/>
      <c r="AT53" s="3"/>
      <c r="AU53" s="3"/>
      <c r="AV53" s="3"/>
    </row>
    <row r="54" ht="18.75" hidden="1" customHeight="1">
      <c r="A54" s="2"/>
      <c r="B54" s="4"/>
      <c r="C54" s="24"/>
      <c r="D54" s="24"/>
      <c r="E54" s="24"/>
      <c r="F54" s="24"/>
      <c r="G54" s="24"/>
      <c r="H54" s="24"/>
      <c r="I54" s="24"/>
      <c r="J54" s="24"/>
      <c r="K54" s="24"/>
      <c r="L54" s="24"/>
      <c r="M54" s="24"/>
      <c r="N54" s="24"/>
      <c r="O54" s="24"/>
      <c r="P54" s="24"/>
      <c r="Q54" s="73"/>
      <c r="R54" s="4"/>
      <c r="S54" s="4"/>
      <c r="T54" s="4"/>
      <c r="U54" s="4"/>
      <c r="V54" s="4"/>
      <c r="W54" s="25"/>
      <c r="X54" s="24"/>
      <c r="Y54" s="24"/>
      <c r="Z54" s="24"/>
      <c r="AA54" s="24"/>
      <c r="AB54" s="24"/>
      <c r="AC54" s="24"/>
      <c r="AD54" s="24"/>
      <c r="AE54" s="24"/>
      <c r="AF54" s="24"/>
      <c r="AG54" s="4"/>
      <c r="AH54" s="3"/>
      <c r="AI54" s="88"/>
      <c r="AJ54" s="88"/>
      <c r="AK54" s="89"/>
      <c r="AL54" s="88"/>
      <c r="AM54" s="89"/>
      <c r="AN54" s="89"/>
      <c r="AO54" s="88"/>
      <c r="AP54" s="88"/>
      <c r="AQ54" s="88"/>
      <c r="AR54" s="88"/>
      <c r="AS54" s="88"/>
      <c r="AT54" s="72"/>
      <c r="AU54" s="72"/>
      <c r="AV54" s="72"/>
    </row>
    <row r="55" ht="18.75" hidden="1" customHeight="1">
      <c r="A55" s="2"/>
      <c r="B55" s="27"/>
      <c r="C55" s="95">
        <f>IF('Accepted Drops'!J3&gt;='Accepted Drops'!L3, 5, "")</f>
        <v>5</v>
      </c>
      <c r="D55" s="29"/>
      <c r="E55" s="29"/>
      <c r="F55" s="29"/>
      <c r="G55" s="30"/>
      <c r="H55" s="95">
        <f>IF('Accepted Drops'!T3&gt;='Accepted Drops'!V3, 5, "")</f>
        <v>5</v>
      </c>
      <c r="I55" s="29"/>
      <c r="J55" s="29"/>
      <c r="K55" s="29"/>
      <c r="L55" s="30"/>
      <c r="M55" s="96">
        <f>IF('Accepted Drops'!AD3&gt;='Accepted Drops'!AF3, 10, "")</f>
        <v>10</v>
      </c>
      <c r="N55" s="29"/>
      <c r="O55" s="29"/>
      <c r="P55" s="29"/>
      <c r="Q55" s="30"/>
      <c r="R55" s="96">
        <f>IF('Accepted Drops'!AN3&gt;='Accepted Drops'!AP3, 10, "")</f>
        <v>10</v>
      </c>
      <c r="S55" s="29"/>
      <c r="T55" s="29"/>
      <c r="U55" s="29"/>
      <c r="V55" s="30"/>
      <c r="W55" s="97">
        <f>IF('Accepted Drops'!AX3&gt;='Accepted Drops'!AZ3, 20, "")</f>
        <v>20</v>
      </c>
      <c r="X55" s="29"/>
      <c r="Y55" s="29"/>
      <c r="Z55" s="29"/>
      <c r="AA55" s="30"/>
      <c r="AB55" s="97">
        <f>IF('Accepted Drops'!BH3&gt;='Accepted Drops'!BJ3, 20, "")</f>
        <v>20</v>
      </c>
      <c r="AC55" s="29"/>
      <c r="AD55" s="29"/>
      <c r="AE55" s="29"/>
      <c r="AF55" s="30"/>
      <c r="AG55" s="98">
        <f>IF(
  (C55&lt;&gt;"") + (H55&lt;&gt;"") + (M55&lt;&gt;"") + (R55&lt;&gt;"") + (W55&lt;&gt;"") + (AB55&lt;&gt;"") = 6,
  30,
  ""
)</f>
        <v>30</v>
      </c>
      <c r="AH55" s="3"/>
      <c r="AI55" s="88"/>
      <c r="AJ55" s="88"/>
      <c r="AK55" s="89"/>
      <c r="AL55" s="88"/>
      <c r="AM55" s="89"/>
      <c r="AN55" s="89"/>
      <c r="AO55" s="88"/>
      <c r="AP55" s="88"/>
      <c r="AQ55" s="88"/>
      <c r="AR55" s="88"/>
      <c r="AS55" s="88"/>
      <c r="AT55" s="72"/>
      <c r="AU55" s="72"/>
      <c r="AV55" s="72"/>
    </row>
    <row r="56" ht="18.75" hidden="1" customHeight="1">
      <c r="A56" s="2"/>
      <c r="B56" s="27"/>
      <c r="C56" s="34"/>
      <c r="G56" s="35"/>
      <c r="H56" s="34"/>
      <c r="L56" s="35"/>
      <c r="M56" s="34"/>
      <c r="Q56" s="35"/>
      <c r="R56" s="34"/>
      <c r="V56" s="35"/>
      <c r="W56" s="34"/>
      <c r="AA56" s="35"/>
      <c r="AB56" s="34"/>
      <c r="AF56" s="35"/>
      <c r="AG56" s="4"/>
      <c r="AH56" s="3"/>
      <c r="AI56" s="88"/>
      <c r="AJ56" s="88"/>
      <c r="AK56" s="89"/>
      <c r="AL56" s="88"/>
      <c r="AM56" s="89"/>
      <c r="AN56" s="89"/>
      <c r="AO56" s="88"/>
      <c r="AP56" s="88"/>
      <c r="AQ56" s="88"/>
      <c r="AR56" s="88"/>
      <c r="AS56" s="88"/>
      <c r="AT56" s="72"/>
      <c r="AU56" s="72"/>
      <c r="AV56" s="72"/>
    </row>
    <row r="57" ht="18.75" hidden="1" customHeight="1">
      <c r="A57" s="2"/>
      <c r="B57" s="27"/>
      <c r="C57" s="34"/>
      <c r="G57" s="35"/>
      <c r="H57" s="34"/>
      <c r="L57" s="35"/>
      <c r="M57" s="34"/>
      <c r="Q57" s="35"/>
      <c r="R57" s="34"/>
      <c r="V57" s="35"/>
      <c r="W57" s="34"/>
      <c r="AA57" s="35"/>
      <c r="AB57" s="34"/>
      <c r="AF57" s="35"/>
      <c r="AG57" s="4"/>
      <c r="AH57" s="3"/>
      <c r="AI57" s="88"/>
      <c r="AJ57" s="88"/>
      <c r="AK57" s="89"/>
      <c r="AL57" s="88"/>
      <c r="AM57" s="89"/>
      <c r="AN57" s="89"/>
      <c r="AO57" s="88"/>
      <c r="AP57" s="88"/>
      <c r="AQ57" s="88"/>
      <c r="AR57" s="88"/>
      <c r="AS57" s="88"/>
      <c r="AT57" s="72"/>
      <c r="AU57" s="72"/>
      <c r="AV57" s="72"/>
    </row>
    <row r="58" ht="18.75" hidden="1" customHeight="1">
      <c r="A58" s="2"/>
      <c r="B58" s="27"/>
      <c r="C58" s="34"/>
      <c r="G58" s="35"/>
      <c r="H58" s="34"/>
      <c r="L58" s="35"/>
      <c r="M58" s="34"/>
      <c r="Q58" s="35"/>
      <c r="R58" s="34"/>
      <c r="V58" s="35"/>
      <c r="W58" s="34"/>
      <c r="AA58" s="35"/>
      <c r="AB58" s="34"/>
      <c r="AF58" s="35"/>
      <c r="AG58" s="4"/>
      <c r="AH58" s="3"/>
      <c r="AI58" s="3"/>
      <c r="AJ58" s="3"/>
      <c r="AK58" s="3"/>
      <c r="AL58" s="3"/>
      <c r="AM58" s="3"/>
      <c r="AN58" s="3"/>
      <c r="AO58" s="3"/>
      <c r="AP58" s="3"/>
      <c r="AQ58" s="3"/>
      <c r="AR58" s="3"/>
      <c r="AS58" s="3"/>
      <c r="AT58" s="3"/>
      <c r="AU58" s="3"/>
      <c r="AV58" s="3"/>
    </row>
    <row r="59" ht="18.75" hidden="1" customHeight="1">
      <c r="A59" s="2"/>
      <c r="B59" s="27"/>
      <c r="C59" s="48"/>
      <c r="D59" s="49"/>
      <c r="E59" s="49"/>
      <c r="F59" s="49"/>
      <c r="G59" s="50"/>
      <c r="H59" s="48"/>
      <c r="I59" s="49"/>
      <c r="J59" s="49"/>
      <c r="K59" s="49"/>
      <c r="L59" s="50"/>
      <c r="M59" s="48"/>
      <c r="N59" s="49"/>
      <c r="O59" s="49"/>
      <c r="P59" s="49"/>
      <c r="Q59" s="50"/>
      <c r="R59" s="48"/>
      <c r="S59" s="49"/>
      <c r="T59" s="49"/>
      <c r="U59" s="49"/>
      <c r="V59" s="50"/>
      <c r="W59" s="48"/>
      <c r="X59" s="49"/>
      <c r="Y59" s="49"/>
      <c r="Z59" s="49"/>
      <c r="AA59" s="50"/>
      <c r="AB59" s="48"/>
      <c r="AC59" s="49"/>
      <c r="AD59" s="49"/>
      <c r="AE59" s="49"/>
      <c r="AF59" s="50"/>
      <c r="AG59" s="82"/>
      <c r="AH59" s="3"/>
      <c r="AI59" s="3"/>
      <c r="AJ59" s="3"/>
      <c r="AK59" s="3"/>
      <c r="AL59" s="3"/>
      <c r="AM59" s="3"/>
      <c r="AN59" s="3"/>
      <c r="AO59" s="3"/>
      <c r="AP59" s="3"/>
      <c r="AQ59" s="3"/>
      <c r="AR59" s="3"/>
      <c r="AS59" s="3"/>
      <c r="AT59" s="3"/>
      <c r="AU59" s="3"/>
      <c r="AV59" s="3"/>
    </row>
    <row r="60" ht="18.75" hidden="1" customHeight="1">
      <c r="A60" s="2"/>
      <c r="B60" s="27"/>
      <c r="C60" s="96">
        <f>IF('Accepted Drops'!J9&gt;='Accepted Drops'!L9, 10, "")</f>
        <v>10</v>
      </c>
      <c r="D60" s="29"/>
      <c r="E60" s="29"/>
      <c r="F60" s="29"/>
      <c r="G60" s="30"/>
      <c r="H60" s="97" t="str">
        <f>IF('Accepted Drops'!T10&gt;='Accepted Drops'!V10, 20, "")</f>
        <v/>
      </c>
      <c r="I60" s="29"/>
      <c r="J60" s="29"/>
      <c r="K60" s="29"/>
      <c r="L60" s="30"/>
      <c r="M60" s="95">
        <f>IF('Accepted Drops'!AD13&gt;='Accepted Drops'!AF13, 5, "")</f>
        <v>5</v>
      </c>
      <c r="N60" s="29"/>
      <c r="O60" s="29"/>
      <c r="P60" s="29"/>
      <c r="Q60" s="30"/>
      <c r="R60" s="97" t="str">
        <f>IF('Accepted Drops'!AN8&gt;='Accepted Drops'!AP8, 20, "")</f>
        <v/>
      </c>
      <c r="S60" s="29"/>
      <c r="T60" s="29"/>
      <c r="U60" s="29"/>
      <c r="V60" s="30"/>
      <c r="W60" s="96">
        <f>IF('Accepted Drops'!AX12&gt;='Accepted Drops'!AZ12, 10, "")</f>
        <v>10</v>
      </c>
      <c r="X60" s="29"/>
      <c r="Y60" s="29"/>
      <c r="Z60" s="29"/>
      <c r="AA60" s="30"/>
      <c r="AB60" s="96">
        <f>IF('Accepted Drops'!BH20&gt;='Accepted Drops'!BJ20, 10, "")</f>
        <v>10</v>
      </c>
      <c r="AC60" s="29"/>
      <c r="AD60" s="29"/>
      <c r="AE60" s="29"/>
      <c r="AF60" s="30"/>
      <c r="AG60" s="98" t="str">
        <f>IF(
  (C60&lt;&gt;"") + (H60&lt;&gt;"") + (M60&lt;&gt;"") + (R60&lt;&gt;"") + (W60&lt;&gt;"") + (AB60&lt;&gt;"") = 6,
  30,
  ""
)</f>
        <v/>
      </c>
      <c r="AH60" s="3"/>
      <c r="AI60" s="3"/>
      <c r="AJ60" s="3"/>
      <c r="AK60" s="3"/>
      <c r="AL60" s="3"/>
      <c r="AM60" s="3"/>
      <c r="AN60" s="3"/>
      <c r="AO60" s="3"/>
      <c r="AP60" s="3"/>
      <c r="AQ60" s="3"/>
      <c r="AR60" s="3"/>
      <c r="AS60" s="3"/>
      <c r="AT60" s="3"/>
      <c r="AU60" s="3"/>
      <c r="AV60" s="3"/>
    </row>
    <row r="61" ht="18.75" hidden="1" customHeight="1">
      <c r="A61" s="2"/>
      <c r="B61" s="27"/>
      <c r="C61" s="34"/>
      <c r="G61" s="35"/>
      <c r="H61" s="34"/>
      <c r="L61" s="35"/>
      <c r="M61" s="34"/>
      <c r="Q61" s="35"/>
      <c r="R61" s="34"/>
      <c r="V61" s="35"/>
      <c r="W61" s="34"/>
      <c r="AA61" s="35"/>
      <c r="AB61" s="34"/>
      <c r="AF61" s="35"/>
      <c r="AG61" s="4"/>
      <c r="AH61" s="3"/>
      <c r="AI61" s="88"/>
      <c r="AJ61" s="88"/>
      <c r="AK61" s="89"/>
      <c r="AL61" s="88"/>
      <c r="AM61" s="89"/>
      <c r="AN61" s="89"/>
      <c r="AO61" s="88"/>
      <c r="AP61" s="88"/>
      <c r="AQ61" s="88"/>
      <c r="AR61" s="88"/>
      <c r="AS61" s="88"/>
      <c r="AT61" s="72"/>
      <c r="AU61" s="72"/>
      <c r="AV61" s="72"/>
    </row>
    <row r="62" ht="18.75" hidden="1" customHeight="1">
      <c r="A62" s="2"/>
      <c r="B62" s="27"/>
      <c r="C62" s="34"/>
      <c r="G62" s="35"/>
      <c r="H62" s="34"/>
      <c r="L62" s="35"/>
      <c r="M62" s="34"/>
      <c r="Q62" s="35"/>
      <c r="R62" s="34"/>
      <c r="V62" s="35"/>
      <c r="W62" s="34"/>
      <c r="AA62" s="35"/>
      <c r="AB62" s="34"/>
      <c r="AF62" s="35"/>
      <c r="AG62" s="4"/>
      <c r="AH62" s="3"/>
      <c r="AI62" s="88"/>
      <c r="AJ62" s="88"/>
      <c r="AK62" s="89"/>
      <c r="AL62" s="88"/>
      <c r="AM62" s="89"/>
      <c r="AN62" s="89"/>
      <c r="AO62" s="88"/>
      <c r="AP62" s="88"/>
      <c r="AQ62" s="88"/>
      <c r="AR62" s="88"/>
      <c r="AS62" s="88"/>
      <c r="AT62" s="72"/>
      <c r="AU62" s="72"/>
      <c r="AV62" s="72"/>
    </row>
    <row r="63" ht="18.75" hidden="1" customHeight="1">
      <c r="A63" s="2"/>
      <c r="B63" s="27"/>
      <c r="C63" s="34"/>
      <c r="G63" s="35"/>
      <c r="H63" s="34"/>
      <c r="L63" s="35"/>
      <c r="M63" s="34"/>
      <c r="Q63" s="35"/>
      <c r="R63" s="34"/>
      <c r="V63" s="35"/>
      <c r="W63" s="34"/>
      <c r="AA63" s="35"/>
      <c r="AB63" s="34"/>
      <c r="AF63" s="35"/>
      <c r="AG63" s="4"/>
      <c r="AH63" s="3"/>
      <c r="AI63" s="88"/>
      <c r="AJ63" s="88"/>
      <c r="AK63" s="89"/>
      <c r="AL63" s="88"/>
      <c r="AM63" s="89"/>
      <c r="AN63" s="89"/>
      <c r="AO63" s="88"/>
      <c r="AP63" s="88"/>
      <c r="AQ63" s="88"/>
      <c r="AR63" s="88"/>
      <c r="AS63" s="88"/>
      <c r="AT63" s="72"/>
      <c r="AU63" s="72"/>
      <c r="AV63" s="72"/>
    </row>
    <row r="64" ht="18.75" hidden="1" customHeight="1">
      <c r="A64" s="2"/>
      <c r="B64" s="27"/>
      <c r="C64" s="48"/>
      <c r="D64" s="49"/>
      <c r="E64" s="49"/>
      <c r="F64" s="49"/>
      <c r="G64" s="50"/>
      <c r="H64" s="48"/>
      <c r="I64" s="49"/>
      <c r="J64" s="49"/>
      <c r="K64" s="49"/>
      <c r="L64" s="50"/>
      <c r="M64" s="48"/>
      <c r="N64" s="49"/>
      <c r="O64" s="49"/>
      <c r="P64" s="49"/>
      <c r="Q64" s="50"/>
      <c r="R64" s="48"/>
      <c r="S64" s="49"/>
      <c r="T64" s="49"/>
      <c r="U64" s="49"/>
      <c r="V64" s="50"/>
      <c r="W64" s="48"/>
      <c r="X64" s="49"/>
      <c r="Y64" s="49"/>
      <c r="Z64" s="49"/>
      <c r="AA64" s="50"/>
      <c r="AB64" s="48"/>
      <c r="AC64" s="49"/>
      <c r="AD64" s="49"/>
      <c r="AE64" s="49"/>
      <c r="AF64" s="50"/>
      <c r="AG64" s="4"/>
      <c r="AH64" s="3"/>
      <c r="AI64" s="88"/>
      <c r="AJ64" s="88"/>
      <c r="AK64" s="89"/>
      <c r="AL64" s="88"/>
      <c r="AM64" s="89"/>
      <c r="AN64" s="89"/>
      <c r="AO64" s="88"/>
      <c r="AP64" s="88"/>
      <c r="AQ64" s="88"/>
      <c r="AR64" s="88"/>
      <c r="AS64" s="88"/>
      <c r="AT64" s="72"/>
      <c r="AU64" s="72"/>
      <c r="AV64" s="72"/>
    </row>
    <row r="65" ht="18.75" hidden="1" customHeight="1">
      <c r="A65" s="2"/>
      <c r="B65" s="27"/>
      <c r="C65" s="97">
        <f>IF('Accepted Drops'!J17&gt;='Accepted Drops'!L17, 20, "")</f>
        <v>20</v>
      </c>
      <c r="D65" s="29"/>
      <c r="E65" s="29"/>
      <c r="F65" s="29"/>
      <c r="G65" s="30"/>
      <c r="H65" s="96">
        <f>IF('Accepted Drops'!T16&gt;='Accepted Drops'!V16, 10, "")</f>
        <v>10</v>
      </c>
      <c r="I65" s="29"/>
      <c r="J65" s="29"/>
      <c r="K65" s="29"/>
      <c r="L65" s="30"/>
      <c r="M65" s="97">
        <f>IF('Accepted Drops'!AD23&gt;='Accepted Drops'!AF23, 20, "")</f>
        <v>20</v>
      </c>
      <c r="N65" s="29"/>
      <c r="O65" s="29"/>
      <c r="P65" s="29"/>
      <c r="Q65" s="30"/>
      <c r="R65" s="95">
        <f>IF('Accepted Drops'!AN21&gt;='Accepted Drops'!AP21, 5, "")</f>
        <v>5</v>
      </c>
      <c r="S65" s="29"/>
      <c r="T65" s="29"/>
      <c r="U65" s="29"/>
      <c r="V65" s="30"/>
      <c r="W65" s="96">
        <f>IF('Accepted Drops'!AX39&gt;='Accepted Drops'!AZ39, 10, "")</f>
        <v>10</v>
      </c>
      <c r="X65" s="29"/>
      <c r="Y65" s="29"/>
      <c r="Z65" s="29"/>
      <c r="AA65" s="30"/>
      <c r="AB65" s="95">
        <f>IF('Accepted Drops'!BH29&gt;='Accepted Drops'!BJ29, 5, "")</f>
        <v>5</v>
      </c>
      <c r="AC65" s="29"/>
      <c r="AD65" s="29"/>
      <c r="AE65" s="29"/>
      <c r="AF65" s="30"/>
      <c r="AG65" s="98">
        <f>IF(
  (C65&lt;&gt;"") + (H65&lt;&gt;"") + (M65&lt;&gt;"") + (R65&lt;&gt;"") + (W65&lt;&gt;"") + (AB65&lt;&gt;"") = 6,
  30,
  ""
)</f>
        <v>30</v>
      </c>
      <c r="AH65" s="3"/>
      <c r="AI65" s="3"/>
      <c r="AJ65" s="3"/>
      <c r="AK65" s="3"/>
      <c r="AL65" s="3"/>
      <c r="AM65" s="3"/>
      <c r="AN65" s="3"/>
      <c r="AO65" s="3"/>
      <c r="AP65" s="3"/>
      <c r="AQ65" s="3"/>
      <c r="AR65" s="3"/>
      <c r="AS65" s="3"/>
      <c r="AT65" s="3"/>
      <c r="AU65" s="3"/>
      <c r="AV65" s="3"/>
    </row>
    <row r="66" ht="18.75" hidden="1" customHeight="1">
      <c r="A66" s="2"/>
      <c r="B66" s="27"/>
      <c r="C66" s="34"/>
      <c r="G66" s="35"/>
      <c r="H66" s="34"/>
      <c r="L66" s="35"/>
      <c r="M66" s="34"/>
      <c r="Q66" s="35"/>
      <c r="R66" s="34"/>
      <c r="V66" s="35"/>
      <c r="W66" s="34"/>
      <c r="AA66" s="35"/>
      <c r="AB66" s="34"/>
      <c r="AF66" s="35"/>
      <c r="AG66" s="4"/>
      <c r="AH66" s="3"/>
      <c r="AI66" s="3"/>
      <c r="AJ66" s="3"/>
      <c r="AK66" s="3"/>
      <c r="AL66" s="3"/>
      <c r="AM66" s="3"/>
      <c r="AN66" s="3"/>
      <c r="AO66" s="3"/>
      <c r="AP66" s="3"/>
      <c r="AQ66" s="3"/>
      <c r="AR66" s="3"/>
      <c r="AS66" s="3"/>
      <c r="AT66" s="3"/>
      <c r="AU66" s="3"/>
      <c r="AV66" s="3"/>
    </row>
    <row r="67" ht="18.75" hidden="1" customHeight="1">
      <c r="A67" s="2"/>
      <c r="B67" s="27"/>
      <c r="C67" s="34"/>
      <c r="G67" s="35"/>
      <c r="H67" s="34"/>
      <c r="L67" s="35"/>
      <c r="M67" s="34"/>
      <c r="Q67" s="35"/>
      <c r="R67" s="34"/>
      <c r="V67" s="35"/>
      <c r="W67" s="34"/>
      <c r="AA67" s="35"/>
      <c r="AB67" s="34"/>
      <c r="AF67" s="35"/>
      <c r="AG67" s="4"/>
      <c r="AH67" s="3"/>
      <c r="AI67" s="3"/>
      <c r="AJ67" s="3"/>
      <c r="AK67" s="3"/>
      <c r="AL67" s="3"/>
      <c r="AM67" s="3"/>
      <c r="AN67" s="3"/>
      <c r="AO67" s="3"/>
      <c r="AP67" s="3"/>
      <c r="AQ67" s="3"/>
      <c r="AR67" s="3"/>
      <c r="AS67" s="3"/>
      <c r="AT67" s="3"/>
      <c r="AU67" s="3"/>
      <c r="AV67" s="3"/>
    </row>
    <row r="68" ht="18.75" hidden="1" customHeight="1">
      <c r="A68" s="2"/>
      <c r="B68" s="27"/>
      <c r="C68" s="34"/>
      <c r="G68" s="35"/>
      <c r="H68" s="34"/>
      <c r="L68" s="35"/>
      <c r="M68" s="34"/>
      <c r="Q68" s="35"/>
      <c r="R68" s="34"/>
      <c r="V68" s="35"/>
      <c r="W68" s="34"/>
      <c r="AA68" s="35"/>
      <c r="AB68" s="34"/>
      <c r="AF68" s="35"/>
      <c r="AG68" s="4"/>
      <c r="AH68" s="3"/>
      <c r="AI68" s="88"/>
      <c r="AJ68" s="88"/>
      <c r="AK68" s="89"/>
      <c r="AL68" s="88"/>
      <c r="AM68" s="89"/>
      <c r="AN68" s="89"/>
      <c r="AO68" s="88"/>
      <c r="AP68" s="88"/>
      <c r="AQ68" s="88"/>
      <c r="AR68" s="88"/>
      <c r="AS68" s="88"/>
      <c r="AT68" s="72"/>
      <c r="AU68" s="72"/>
      <c r="AV68" s="72"/>
    </row>
    <row r="69" ht="18.75" hidden="1" customHeight="1">
      <c r="A69" s="2"/>
      <c r="B69" s="4"/>
      <c r="C69" s="48"/>
      <c r="D69" s="49"/>
      <c r="E69" s="49"/>
      <c r="F69" s="49"/>
      <c r="G69" s="50"/>
      <c r="H69" s="48"/>
      <c r="I69" s="49"/>
      <c r="J69" s="49"/>
      <c r="K69" s="49"/>
      <c r="L69" s="50"/>
      <c r="M69" s="48"/>
      <c r="N69" s="49"/>
      <c r="O69" s="49"/>
      <c r="P69" s="49"/>
      <c r="Q69" s="50"/>
      <c r="R69" s="48"/>
      <c r="S69" s="49"/>
      <c r="T69" s="49"/>
      <c r="U69" s="49"/>
      <c r="V69" s="50"/>
      <c r="W69" s="48"/>
      <c r="X69" s="49"/>
      <c r="Y69" s="49"/>
      <c r="Z69" s="49"/>
      <c r="AA69" s="50"/>
      <c r="AB69" s="48"/>
      <c r="AC69" s="49"/>
      <c r="AD69" s="49"/>
      <c r="AE69" s="49"/>
      <c r="AF69" s="50"/>
      <c r="AG69" s="4"/>
      <c r="AH69" s="3"/>
      <c r="AI69" s="88"/>
      <c r="AJ69" s="88"/>
      <c r="AK69" s="89"/>
      <c r="AL69" s="88"/>
      <c r="AM69" s="89"/>
      <c r="AN69" s="89"/>
      <c r="AO69" s="88"/>
      <c r="AP69" s="88"/>
      <c r="AQ69" s="88"/>
      <c r="AR69" s="88"/>
      <c r="AS69" s="88"/>
      <c r="AT69" s="72"/>
      <c r="AU69" s="72"/>
      <c r="AV69" s="72"/>
    </row>
    <row r="70" ht="18.75" hidden="1" customHeight="1">
      <c r="A70" s="2"/>
      <c r="B70" s="4"/>
      <c r="C70" s="95">
        <f>IF('Accepted Drops'!J37&gt;='Accepted Drops'!L37, 5, "")</f>
        <v>5</v>
      </c>
      <c r="D70" s="29"/>
      <c r="E70" s="29"/>
      <c r="F70" s="29"/>
      <c r="G70" s="30"/>
      <c r="H70" s="97">
        <f>IF('Accepted Drops'!T25&gt;='Accepted Drops'!V25, 20, "")</f>
        <v>20</v>
      </c>
      <c r="I70" s="29"/>
      <c r="J70" s="29"/>
      <c r="K70" s="29"/>
      <c r="L70" s="30"/>
      <c r="M70" s="96">
        <f>IF('Accepted Drops'!AD32&gt;='Accepted Drops'!AF32, 10, "")</f>
        <v>10</v>
      </c>
      <c r="N70" s="29"/>
      <c r="O70" s="29"/>
      <c r="P70" s="29"/>
      <c r="Q70" s="30"/>
      <c r="R70" s="95">
        <f>IF('Accepted Drops'!AN30&gt;='Accepted Drops'!AP30, 5, "")</f>
        <v>5</v>
      </c>
      <c r="S70" s="29"/>
      <c r="T70" s="29"/>
      <c r="U70" s="29"/>
      <c r="V70" s="30"/>
      <c r="W70" s="97">
        <f>IF('Accepted Drops'!AX44&gt;='Accepted Drops'!AZ44, 20, "")</f>
        <v>20</v>
      </c>
      <c r="X70" s="29"/>
      <c r="Y70" s="29"/>
      <c r="Z70" s="29"/>
      <c r="AA70" s="30"/>
      <c r="AB70" s="96">
        <f>IF('Accepted Drops'!BH37&gt;='Accepted Drops'!BJ37, 10, "")</f>
        <v>10</v>
      </c>
      <c r="AC70" s="29"/>
      <c r="AD70" s="29"/>
      <c r="AE70" s="29"/>
      <c r="AF70" s="30"/>
      <c r="AG70" s="98">
        <f>IF(
  (C70&lt;&gt;"") + (H70&lt;&gt;"") + (M70&lt;&gt;"") + (R70&lt;&gt;"") + (W70&lt;&gt;"") + (AB70&lt;&gt;"") = 6,
  30,
  ""
)</f>
        <v>30</v>
      </c>
      <c r="AH70" s="3"/>
      <c r="AI70" s="88"/>
      <c r="AJ70" s="88"/>
      <c r="AK70" s="89"/>
      <c r="AL70" s="88"/>
      <c r="AM70" s="89"/>
      <c r="AN70" s="89"/>
      <c r="AO70" s="88"/>
      <c r="AP70" s="88"/>
      <c r="AQ70" s="88"/>
      <c r="AR70" s="88"/>
      <c r="AS70" s="88"/>
      <c r="AT70" s="72"/>
      <c r="AU70" s="72"/>
      <c r="AV70" s="72"/>
    </row>
    <row r="71" ht="18.75" hidden="1" customHeight="1">
      <c r="A71" s="2"/>
      <c r="B71" s="4"/>
      <c r="C71" s="34"/>
      <c r="G71" s="35"/>
      <c r="H71" s="34"/>
      <c r="L71" s="35"/>
      <c r="M71" s="34"/>
      <c r="Q71" s="35"/>
      <c r="R71" s="34"/>
      <c r="V71" s="35"/>
      <c r="W71" s="34"/>
      <c r="AA71" s="35"/>
      <c r="AB71" s="34"/>
      <c r="AF71" s="35"/>
      <c r="AG71" s="4"/>
      <c r="AH71" s="3"/>
      <c r="AI71" s="88"/>
      <c r="AJ71" s="88"/>
      <c r="AK71" s="89"/>
      <c r="AL71" s="88"/>
      <c r="AM71" s="89"/>
      <c r="AN71" s="89"/>
      <c r="AO71" s="88"/>
      <c r="AP71" s="88"/>
      <c r="AQ71" s="88"/>
      <c r="AR71" s="88"/>
      <c r="AS71" s="88"/>
      <c r="AT71" s="72"/>
      <c r="AU71" s="72"/>
      <c r="AV71" s="72"/>
    </row>
    <row r="72" ht="18.75" hidden="1" customHeight="1">
      <c r="A72" s="2"/>
      <c r="B72" s="4"/>
      <c r="C72" s="34"/>
      <c r="G72" s="35"/>
      <c r="H72" s="34"/>
      <c r="L72" s="35"/>
      <c r="M72" s="34"/>
      <c r="Q72" s="35"/>
      <c r="R72" s="34"/>
      <c r="V72" s="35"/>
      <c r="W72" s="34"/>
      <c r="AA72" s="35"/>
      <c r="AB72" s="34"/>
      <c r="AF72" s="35"/>
      <c r="AG72" s="4"/>
      <c r="AH72" s="3"/>
      <c r="AI72" s="3"/>
      <c r="AJ72" s="3"/>
      <c r="AK72" s="3"/>
      <c r="AL72" s="3"/>
      <c r="AM72" s="3"/>
      <c r="AN72" s="3"/>
      <c r="AO72" s="3"/>
      <c r="AP72" s="3"/>
      <c r="AQ72" s="3"/>
      <c r="AR72" s="3"/>
      <c r="AS72" s="3"/>
      <c r="AT72" s="3"/>
      <c r="AU72" s="3"/>
      <c r="AV72" s="3"/>
    </row>
    <row r="73" ht="18.75" hidden="1" customHeight="1">
      <c r="A73" s="2"/>
      <c r="B73" s="4"/>
      <c r="C73" s="34"/>
      <c r="G73" s="35"/>
      <c r="H73" s="34"/>
      <c r="L73" s="35"/>
      <c r="M73" s="34"/>
      <c r="Q73" s="35"/>
      <c r="R73" s="34"/>
      <c r="V73" s="35"/>
      <c r="W73" s="34"/>
      <c r="AA73" s="35"/>
      <c r="AB73" s="34"/>
      <c r="AF73" s="35"/>
      <c r="AG73" s="4"/>
      <c r="AH73" s="3"/>
      <c r="AI73" s="3"/>
      <c r="AJ73" s="3"/>
      <c r="AK73" s="3"/>
      <c r="AL73" s="3"/>
      <c r="AM73" s="3"/>
      <c r="AN73" s="3"/>
      <c r="AO73" s="3"/>
      <c r="AP73" s="3"/>
      <c r="AQ73" s="3"/>
      <c r="AR73" s="3"/>
      <c r="AS73" s="3"/>
      <c r="AT73" s="3"/>
      <c r="AU73" s="3"/>
      <c r="AV73" s="3"/>
    </row>
    <row r="74" ht="18.75" hidden="1" customHeight="1">
      <c r="A74" s="2"/>
      <c r="B74" s="4"/>
      <c r="C74" s="48"/>
      <c r="D74" s="49"/>
      <c r="E74" s="49"/>
      <c r="F74" s="49"/>
      <c r="G74" s="50"/>
      <c r="H74" s="48"/>
      <c r="I74" s="49"/>
      <c r="J74" s="49"/>
      <c r="K74" s="49"/>
      <c r="L74" s="50"/>
      <c r="M74" s="48"/>
      <c r="N74" s="49"/>
      <c r="O74" s="49"/>
      <c r="P74" s="49"/>
      <c r="Q74" s="50"/>
      <c r="R74" s="48"/>
      <c r="S74" s="49"/>
      <c r="T74" s="49"/>
      <c r="U74" s="49"/>
      <c r="V74" s="50"/>
      <c r="W74" s="48"/>
      <c r="X74" s="49"/>
      <c r="Y74" s="49"/>
      <c r="Z74" s="49"/>
      <c r="AA74" s="50"/>
      <c r="AB74" s="48"/>
      <c r="AC74" s="49"/>
      <c r="AD74" s="49"/>
      <c r="AE74" s="49"/>
      <c r="AF74" s="50"/>
      <c r="AG74" s="4"/>
      <c r="AH74" s="3"/>
      <c r="AI74" s="3"/>
      <c r="AJ74" s="3"/>
      <c r="AK74" s="3"/>
      <c r="AL74" s="3"/>
      <c r="AM74" s="3"/>
      <c r="AN74" s="3"/>
      <c r="AO74" s="3"/>
      <c r="AP74" s="3"/>
      <c r="AQ74" s="3"/>
      <c r="AR74" s="3"/>
      <c r="AS74" s="3"/>
      <c r="AT74" s="3"/>
      <c r="AU74" s="3"/>
      <c r="AV74" s="3"/>
    </row>
    <row r="75" ht="18.75" hidden="1" customHeight="1">
      <c r="A75" s="2"/>
      <c r="B75" s="63"/>
      <c r="C75" s="97">
        <f>IF('Accepted Drops'!J43&gt;='Accepted Drops'!L43, 20, "")</f>
        <v>20</v>
      </c>
      <c r="D75" s="29"/>
      <c r="E75" s="29"/>
      <c r="F75" s="29"/>
      <c r="G75" s="30"/>
      <c r="H75" s="96">
        <f>IF('Accepted Drops'!T33&gt;='Accepted Drops'!V33, 10, "")</f>
        <v>10</v>
      </c>
      <c r="I75" s="29"/>
      <c r="J75" s="29"/>
      <c r="K75" s="29"/>
      <c r="L75" s="30"/>
      <c r="M75" s="95">
        <f>IF('Accepted Drops'!AD42&gt;='Accepted Drops'!AF42, 5, "")</f>
        <v>5</v>
      </c>
      <c r="N75" s="29"/>
      <c r="O75" s="29"/>
      <c r="P75" s="29"/>
      <c r="Q75" s="30"/>
      <c r="R75" s="96">
        <f>IF('Accepted Drops'!AN35&gt;='Accepted Drops'!AP35, 10, "")</f>
        <v>10</v>
      </c>
      <c r="S75" s="29"/>
      <c r="T75" s="29"/>
      <c r="U75" s="29"/>
      <c r="V75" s="30"/>
      <c r="W75" s="95">
        <f>IF('Accepted Drops'!AX52&gt;='Accepted Drops'!AZ52, 5, "")</f>
        <v>5</v>
      </c>
      <c r="X75" s="29"/>
      <c r="Y75" s="29"/>
      <c r="Z75" s="29"/>
      <c r="AA75" s="30"/>
      <c r="AB75" s="97" t="str">
        <f>IF('Accepted Drops'!BH41&gt;='Accepted Drops'!BJ41, 20, "")</f>
        <v/>
      </c>
      <c r="AC75" s="29"/>
      <c r="AD75" s="29"/>
      <c r="AE75" s="29"/>
      <c r="AF75" s="30"/>
      <c r="AG75" s="98" t="str">
        <f>IF(
  (C75&lt;&gt;"") + (H75&lt;&gt;"") + (M75&lt;&gt;"") + (R75&lt;&gt;"") + (W75&lt;&gt;"") + (AB75&lt;&gt;"") = 6,
  30,
  ""
)</f>
        <v/>
      </c>
      <c r="AH75" s="3"/>
      <c r="AI75" s="88"/>
      <c r="AJ75" s="88"/>
      <c r="AK75" s="89"/>
      <c r="AL75" s="88"/>
      <c r="AM75" s="89"/>
      <c r="AN75" s="89"/>
      <c r="AO75" s="88"/>
      <c r="AP75" s="88"/>
      <c r="AQ75" s="88"/>
      <c r="AR75" s="88"/>
      <c r="AS75" s="88"/>
      <c r="AT75" s="72"/>
      <c r="AU75" s="72"/>
      <c r="AV75" s="72"/>
    </row>
    <row r="76" ht="18.75" hidden="1" customHeight="1">
      <c r="A76" s="2"/>
      <c r="B76" s="27"/>
      <c r="C76" s="34"/>
      <c r="G76" s="35"/>
      <c r="H76" s="34"/>
      <c r="L76" s="35"/>
      <c r="M76" s="34"/>
      <c r="Q76" s="35"/>
      <c r="R76" s="34"/>
      <c r="V76" s="35"/>
      <c r="W76" s="34"/>
      <c r="AA76" s="35"/>
      <c r="AB76" s="34"/>
      <c r="AF76" s="35"/>
      <c r="AG76" s="4"/>
      <c r="AH76" s="3"/>
      <c r="AI76" s="88"/>
      <c r="AJ76" s="88"/>
      <c r="AK76" s="89"/>
      <c r="AL76" s="88"/>
      <c r="AM76" s="89"/>
      <c r="AN76" s="89"/>
      <c r="AO76" s="88"/>
      <c r="AP76" s="88"/>
      <c r="AQ76" s="88"/>
      <c r="AR76" s="88"/>
      <c r="AS76" s="88"/>
      <c r="AT76" s="72"/>
      <c r="AU76" s="72"/>
      <c r="AV76" s="72"/>
    </row>
    <row r="77" ht="18.75" hidden="1" customHeight="1">
      <c r="A77" s="2"/>
      <c r="B77" s="27"/>
      <c r="C77" s="34"/>
      <c r="G77" s="35"/>
      <c r="H77" s="34"/>
      <c r="L77" s="35"/>
      <c r="M77" s="34"/>
      <c r="Q77" s="35"/>
      <c r="R77" s="34"/>
      <c r="V77" s="35"/>
      <c r="W77" s="34"/>
      <c r="AA77" s="35"/>
      <c r="AB77" s="34"/>
      <c r="AF77" s="35"/>
      <c r="AG77" s="4"/>
      <c r="AH77" s="3"/>
      <c r="AI77" s="88"/>
      <c r="AJ77" s="88"/>
      <c r="AK77" s="89"/>
      <c r="AL77" s="88"/>
      <c r="AM77" s="89"/>
      <c r="AN77" s="89"/>
      <c r="AO77" s="88"/>
      <c r="AP77" s="88"/>
      <c r="AQ77" s="88"/>
      <c r="AR77" s="88"/>
      <c r="AS77" s="88"/>
      <c r="AT77" s="72"/>
      <c r="AU77" s="72"/>
      <c r="AV77" s="72"/>
    </row>
    <row r="78" ht="18.75" hidden="1" customHeight="1">
      <c r="A78" s="2"/>
      <c r="B78" s="27"/>
      <c r="C78" s="34"/>
      <c r="G78" s="35"/>
      <c r="H78" s="34"/>
      <c r="L78" s="35"/>
      <c r="M78" s="34"/>
      <c r="Q78" s="35"/>
      <c r="R78" s="34"/>
      <c r="V78" s="35"/>
      <c r="W78" s="34"/>
      <c r="AA78" s="35"/>
      <c r="AB78" s="34"/>
      <c r="AF78" s="35"/>
      <c r="AG78" s="4"/>
      <c r="AH78" s="3"/>
      <c r="AI78" s="88"/>
      <c r="AJ78" s="88"/>
      <c r="AK78" s="89"/>
      <c r="AL78" s="88"/>
      <c r="AM78" s="89"/>
      <c r="AN78" s="89"/>
      <c r="AO78" s="88"/>
      <c r="AP78" s="88"/>
      <c r="AQ78" s="88"/>
      <c r="AR78" s="88"/>
      <c r="AS78" s="88"/>
      <c r="AT78" s="72"/>
      <c r="AU78" s="72"/>
      <c r="AV78" s="72"/>
    </row>
    <row r="79" ht="18.75" hidden="1" customHeight="1">
      <c r="A79" s="2"/>
      <c r="B79" s="27"/>
      <c r="C79" s="48"/>
      <c r="D79" s="49"/>
      <c r="E79" s="49"/>
      <c r="F79" s="49"/>
      <c r="G79" s="50"/>
      <c r="H79" s="48"/>
      <c r="I79" s="49"/>
      <c r="J79" s="49"/>
      <c r="K79" s="49"/>
      <c r="L79" s="50"/>
      <c r="M79" s="48"/>
      <c r="N79" s="49"/>
      <c r="O79" s="49"/>
      <c r="P79" s="49"/>
      <c r="Q79" s="50"/>
      <c r="R79" s="48"/>
      <c r="S79" s="49"/>
      <c r="T79" s="49"/>
      <c r="U79" s="49"/>
      <c r="V79" s="50"/>
      <c r="W79" s="48"/>
      <c r="X79" s="49"/>
      <c r="Y79" s="49"/>
      <c r="Z79" s="49"/>
      <c r="AA79" s="50"/>
      <c r="AB79" s="48"/>
      <c r="AC79" s="49"/>
      <c r="AD79" s="49"/>
      <c r="AE79" s="49"/>
      <c r="AF79" s="50"/>
      <c r="AG79" s="4"/>
      <c r="AH79" s="3"/>
      <c r="AI79" s="3"/>
      <c r="AJ79" s="3"/>
      <c r="AK79" s="3"/>
      <c r="AL79" s="3"/>
      <c r="AM79" s="3"/>
      <c r="AN79" s="3"/>
      <c r="AO79" s="3"/>
      <c r="AP79" s="3"/>
      <c r="AQ79" s="3"/>
      <c r="AR79" s="3"/>
      <c r="AS79" s="3"/>
      <c r="AT79" s="3"/>
      <c r="AU79" s="3"/>
      <c r="AV79" s="3"/>
    </row>
    <row r="80" ht="18.75" hidden="1" customHeight="1">
      <c r="A80" s="2"/>
      <c r="B80" s="27"/>
      <c r="C80" s="96">
        <f>IF('Accepted Drops'!J52&gt;='Accepted Drops'!L52, 10, "")</f>
        <v>10</v>
      </c>
      <c r="D80" s="29"/>
      <c r="E80" s="29"/>
      <c r="F80" s="29"/>
      <c r="G80" s="30"/>
      <c r="H80" s="95">
        <f>IF('Accepted Drops'!T40&gt;='Accepted Drops'!V40, 5, "")</f>
        <v>5</v>
      </c>
      <c r="I80" s="29"/>
      <c r="J80" s="29"/>
      <c r="K80" s="29"/>
      <c r="L80" s="30"/>
      <c r="M80" s="97">
        <f>IF('Accepted Drops'!AD47&gt;='Accepted Drops'!AF47, 20, "")</f>
        <v>20</v>
      </c>
      <c r="N80" s="29"/>
      <c r="O80" s="29"/>
      <c r="P80" s="29"/>
      <c r="Q80" s="30"/>
      <c r="R80" s="97">
        <f>IF('Accepted Drops'!AN42&gt;='Accepted Drops'!AP42, 20, "")</f>
        <v>20</v>
      </c>
      <c r="S80" s="29"/>
      <c r="T80" s="29"/>
      <c r="U80" s="29"/>
      <c r="V80" s="30"/>
      <c r="W80" s="96">
        <f>IF('Accepted Drops'!AX58&gt;='Accepted Drops'!AZ58, 10, "")</f>
        <v>10</v>
      </c>
      <c r="X80" s="29"/>
      <c r="Y80" s="29"/>
      <c r="Z80" s="29"/>
      <c r="AA80" s="30"/>
      <c r="AB80" s="95">
        <f>IF('Accepted Drops'!BH47&gt;='Accepted Drops'!BJ47, 5, "")</f>
        <v>5</v>
      </c>
      <c r="AC80" s="29"/>
      <c r="AD80" s="29"/>
      <c r="AE80" s="29"/>
      <c r="AF80" s="30"/>
      <c r="AG80" s="98">
        <f>IF(
  (C80&lt;&gt;"") + (H80&lt;&gt;"") + (M80&lt;&gt;"") + (R80&lt;&gt;"") + (W80&lt;&gt;"") + (AB80&lt;&gt;"") = 6,
  30,
  ""
)</f>
        <v>30</v>
      </c>
      <c r="AH80" s="3"/>
      <c r="AI80" s="3"/>
      <c r="AJ80" s="3"/>
      <c r="AK80" s="3"/>
      <c r="AL80" s="3"/>
      <c r="AM80" s="3"/>
      <c r="AN80" s="3"/>
      <c r="AO80" s="3"/>
      <c r="AP80" s="3"/>
      <c r="AQ80" s="3"/>
      <c r="AR80" s="3"/>
      <c r="AS80" s="3"/>
      <c r="AT80" s="3"/>
      <c r="AU80" s="3"/>
      <c r="AV80" s="3"/>
    </row>
    <row r="81" ht="18.75" hidden="1" customHeight="1">
      <c r="A81" s="2"/>
      <c r="B81" s="27"/>
      <c r="C81" s="34"/>
      <c r="G81" s="35"/>
      <c r="H81" s="34"/>
      <c r="L81" s="35"/>
      <c r="M81" s="34"/>
      <c r="Q81" s="35"/>
      <c r="R81" s="34"/>
      <c r="V81" s="35"/>
      <c r="W81" s="34"/>
      <c r="AA81" s="35"/>
      <c r="AB81" s="34"/>
      <c r="AF81" s="35"/>
      <c r="AG81" s="4"/>
      <c r="AH81" s="3"/>
      <c r="AI81" s="3"/>
      <c r="AJ81" s="3"/>
      <c r="AK81" s="3"/>
      <c r="AL81" s="3"/>
      <c r="AM81" s="3"/>
      <c r="AN81" s="3"/>
      <c r="AO81" s="3"/>
      <c r="AP81" s="3"/>
      <c r="AQ81" s="3"/>
      <c r="AR81" s="3"/>
      <c r="AS81" s="3"/>
      <c r="AT81" s="3"/>
      <c r="AU81" s="3"/>
      <c r="AV81" s="3"/>
    </row>
    <row r="82" ht="18.75" hidden="1" customHeight="1">
      <c r="A82" s="2"/>
      <c r="B82" s="27"/>
      <c r="C82" s="34"/>
      <c r="G82" s="35"/>
      <c r="H82" s="34"/>
      <c r="L82" s="35"/>
      <c r="M82" s="34"/>
      <c r="Q82" s="35"/>
      <c r="R82" s="34"/>
      <c r="V82" s="35"/>
      <c r="W82" s="34"/>
      <c r="AA82" s="35"/>
      <c r="AB82" s="34"/>
      <c r="AF82" s="35"/>
      <c r="AG82" s="4"/>
      <c r="AH82" s="3"/>
      <c r="AI82" s="88"/>
      <c r="AJ82" s="88"/>
      <c r="AK82" s="89"/>
      <c r="AL82" s="88"/>
      <c r="AM82" s="89"/>
      <c r="AN82" s="89"/>
      <c r="AO82" s="88"/>
      <c r="AP82" s="88"/>
      <c r="AQ82" s="88"/>
      <c r="AR82" s="88"/>
      <c r="AS82" s="88"/>
      <c r="AT82" s="72"/>
      <c r="AU82" s="72"/>
      <c r="AV82" s="72"/>
    </row>
    <row r="83" ht="18.75" hidden="1" customHeight="1">
      <c r="A83" s="2"/>
      <c r="B83" s="27"/>
      <c r="C83" s="34"/>
      <c r="G83" s="35"/>
      <c r="H83" s="34"/>
      <c r="L83" s="35"/>
      <c r="M83" s="34"/>
      <c r="Q83" s="35"/>
      <c r="R83" s="34"/>
      <c r="V83" s="35"/>
      <c r="W83" s="34"/>
      <c r="AA83" s="35"/>
      <c r="AB83" s="34"/>
      <c r="AF83" s="35"/>
      <c r="AG83" s="4"/>
      <c r="AH83" s="3"/>
      <c r="AI83" s="88"/>
      <c r="AJ83" s="88"/>
      <c r="AK83" s="89"/>
      <c r="AL83" s="88"/>
      <c r="AM83" s="89"/>
      <c r="AN83" s="89"/>
      <c r="AO83" s="88"/>
      <c r="AP83" s="88"/>
      <c r="AQ83" s="88"/>
      <c r="AR83" s="88"/>
      <c r="AS83" s="88"/>
      <c r="AT83" s="72"/>
      <c r="AU83" s="72"/>
      <c r="AV83" s="72"/>
    </row>
    <row r="84" ht="18.75" hidden="1" customHeight="1">
      <c r="A84" s="2"/>
      <c r="B84" s="27"/>
      <c r="C84" s="48"/>
      <c r="D84" s="49"/>
      <c r="E84" s="49"/>
      <c r="F84" s="49"/>
      <c r="G84" s="50"/>
      <c r="H84" s="48"/>
      <c r="I84" s="49"/>
      <c r="J84" s="49"/>
      <c r="K84" s="49"/>
      <c r="L84" s="50"/>
      <c r="M84" s="48"/>
      <c r="N84" s="49"/>
      <c r="O84" s="49"/>
      <c r="P84" s="49"/>
      <c r="Q84" s="50"/>
      <c r="R84" s="48"/>
      <c r="S84" s="49"/>
      <c r="T84" s="49"/>
      <c r="U84" s="49"/>
      <c r="V84" s="50"/>
      <c r="W84" s="48"/>
      <c r="X84" s="49"/>
      <c r="Y84" s="49"/>
      <c r="Z84" s="49"/>
      <c r="AA84" s="50"/>
      <c r="AB84" s="48"/>
      <c r="AC84" s="49"/>
      <c r="AD84" s="49"/>
      <c r="AE84" s="49"/>
      <c r="AF84" s="50"/>
      <c r="AG84" s="4"/>
      <c r="AH84" s="3"/>
      <c r="AI84" s="88"/>
      <c r="AJ84" s="88"/>
      <c r="AK84" s="89"/>
      <c r="AL84" s="88"/>
      <c r="AM84" s="89"/>
      <c r="AN84" s="89"/>
      <c r="AO84" s="88"/>
      <c r="AP84" s="88"/>
      <c r="AQ84" s="88"/>
      <c r="AR84" s="88"/>
      <c r="AS84" s="88"/>
      <c r="AT84" s="72"/>
      <c r="AU84" s="72"/>
      <c r="AV84" s="72"/>
    </row>
    <row r="85" ht="18.75" hidden="1" customHeight="1">
      <c r="A85" s="2"/>
      <c r="B85" s="27"/>
      <c r="C85" s="99">
        <f>IF(
  (C55&lt;&gt;"") + (C60&lt;&gt;"") + (C65&lt;&gt;"") + (C70&lt;&gt;"") + (C75&lt;&gt;"") + (C80&lt;&gt;"") = 6,
  30,
  ""
)</f>
        <v>30</v>
      </c>
      <c r="D85" s="82"/>
      <c r="E85" s="82"/>
      <c r="F85" s="82"/>
      <c r="G85" s="63"/>
      <c r="H85" s="99" t="str">
        <f>IF(
  (H55&lt;&gt;"") + (H60&lt;&gt;"") + (H65&lt;&gt;"") + (H70&lt;&gt;"") + (H75&lt;&gt;"") + (H80&lt;&gt;"") = 6,
  30,
  ""
)</f>
        <v/>
      </c>
      <c r="I85" s="82"/>
      <c r="J85" s="82"/>
      <c r="K85" s="82"/>
      <c r="L85" s="63"/>
      <c r="M85" s="99">
        <f>IF(
  (M55&lt;&gt;"") + (M60&lt;&gt;"") + (M65&lt;&gt;"") + (M70&lt;&gt;"") + (M75&lt;&gt;"") + (M80&lt;&gt;"") = 6,
  30,
  ""
)</f>
        <v>30</v>
      </c>
      <c r="N85" s="82"/>
      <c r="O85" s="82"/>
      <c r="P85" s="82"/>
      <c r="Q85" s="63"/>
      <c r="R85" s="99" t="str">
        <f>IF(
  (R55&lt;&gt;"") + (R60&lt;&gt;"") + (R65&lt;&gt;"") + (R70&lt;&gt;"") + (R75&lt;&gt;"") + (R80&lt;&gt;"") = 6,
  30,
  ""
)</f>
        <v/>
      </c>
      <c r="S85" s="82"/>
      <c r="T85" s="82"/>
      <c r="U85" s="82"/>
      <c r="V85" s="63"/>
      <c r="W85" s="99">
        <f>IF(
  (W55&lt;&gt;"") + (W60&lt;&gt;"") + (W65&lt;&gt;"") + (W70&lt;&gt;"") + (W75&lt;&gt;"") + (W80&lt;&gt;"") = 6,
  30,
  ""
)</f>
        <v>30</v>
      </c>
      <c r="X85" s="82"/>
      <c r="Y85" s="82"/>
      <c r="Z85" s="82"/>
      <c r="AA85" s="63"/>
      <c r="AB85" s="99" t="str">
        <f>IF(
  (AB55&lt;&gt;"") + (AB60&lt;&gt;"") + (AB65&lt;&gt;"") + (AB70&lt;&gt;"") + (AB75&lt;&gt;"") + (AB80&lt;&gt;"") = 6,
  30,
  ""
)</f>
        <v/>
      </c>
      <c r="AC85" s="82"/>
      <c r="AD85" s="82"/>
      <c r="AE85" s="82"/>
      <c r="AF85" s="82"/>
      <c r="AG85" s="54"/>
      <c r="AH85" s="3"/>
      <c r="AI85" s="88"/>
      <c r="AJ85" s="88"/>
      <c r="AK85" s="89"/>
      <c r="AL85" s="88"/>
      <c r="AM85" s="89"/>
      <c r="AN85" s="89"/>
      <c r="AO85" s="88"/>
      <c r="AP85" s="88"/>
      <c r="AQ85" s="88"/>
      <c r="AR85" s="88"/>
      <c r="AS85" s="88"/>
      <c r="AT85" s="72"/>
      <c r="AU85" s="72"/>
      <c r="AV85" s="72"/>
    </row>
    <row r="86" ht="18.75" hidden="1" customHeight="1">
      <c r="A86" s="2"/>
      <c r="B86" s="4"/>
      <c r="C86" s="82"/>
      <c r="D86" s="4"/>
      <c r="E86" s="4"/>
      <c r="F86" s="4"/>
      <c r="G86" s="4"/>
      <c r="H86" s="82"/>
      <c r="I86" s="4"/>
      <c r="J86" s="4"/>
      <c r="K86" s="4"/>
      <c r="L86" s="4"/>
      <c r="M86" s="82"/>
      <c r="N86" s="4"/>
      <c r="O86" s="4"/>
      <c r="P86" s="4"/>
      <c r="Q86" s="27"/>
      <c r="R86" s="4"/>
      <c r="S86" s="4"/>
      <c r="T86" s="4"/>
      <c r="U86" s="4"/>
      <c r="V86" s="4"/>
      <c r="W86" s="54"/>
      <c r="X86" s="4"/>
      <c r="Y86" s="4"/>
      <c r="Z86" s="4"/>
      <c r="AA86" s="4"/>
      <c r="AB86" s="82"/>
      <c r="AC86" s="4"/>
      <c r="AD86" s="4"/>
      <c r="AE86" s="4"/>
      <c r="AF86" s="4"/>
      <c r="AG86" s="82"/>
      <c r="AH86" s="3"/>
      <c r="AI86" s="88"/>
      <c r="AJ86" s="88"/>
      <c r="AK86" s="89"/>
      <c r="AL86" s="88"/>
      <c r="AM86" s="89"/>
      <c r="AN86" s="89"/>
      <c r="AO86" s="88"/>
      <c r="AP86" s="88"/>
      <c r="AQ86" s="88"/>
      <c r="AR86" s="88"/>
      <c r="AS86" s="88"/>
      <c r="AT86" s="72"/>
      <c r="AU86" s="72"/>
      <c r="AV86" s="72"/>
    </row>
    <row r="87" ht="18.75" hidden="1" customHeight="1">
      <c r="A87" s="2"/>
      <c r="B87" s="4"/>
      <c r="C87" s="100">
        <f>'Accepted Drops'!AO69</f>
        <v>0</v>
      </c>
      <c r="D87" s="29"/>
      <c r="E87" s="29"/>
      <c r="F87" s="29"/>
      <c r="G87" s="30"/>
      <c r="H87" s="101">
        <f>'Accepted Drops'!AE69</f>
        <v>0</v>
      </c>
      <c r="I87" s="29"/>
      <c r="J87" s="29"/>
      <c r="K87" s="29"/>
      <c r="L87" s="30"/>
      <c r="M87" s="100">
        <f>'Accepted Drops'!U69</f>
        <v>0</v>
      </c>
      <c r="N87" s="29"/>
      <c r="O87" s="29"/>
      <c r="P87" s="29"/>
      <c r="Q87" s="30"/>
      <c r="R87" s="101">
        <f>'Accepted Drops'!K69</f>
        <v>20</v>
      </c>
      <c r="S87" s="29"/>
      <c r="T87" s="29"/>
      <c r="U87" s="29"/>
      <c r="V87" s="30"/>
      <c r="W87" s="100">
        <f>'Accepted Drops'!BI69</f>
        <v>1</v>
      </c>
      <c r="X87" s="29"/>
      <c r="Y87" s="29"/>
      <c r="Z87" s="29"/>
      <c r="AA87" s="30"/>
      <c r="AB87" s="100">
        <f>'Accepted Drops'!AY69</f>
        <v>0</v>
      </c>
      <c r="AC87" s="29"/>
      <c r="AD87" s="29"/>
      <c r="AE87" s="29"/>
      <c r="AF87" s="30"/>
      <c r="AG87" s="4"/>
      <c r="AH87" s="3"/>
      <c r="AI87" s="88"/>
      <c r="AJ87" s="88"/>
      <c r="AK87" s="89"/>
      <c r="AL87" s="88"/>
      <c r="AM87" s="89"/>
      <c r="AN87" s="89"/>
      <c r="AO87" s="88"/>
      <c r="AP87" s="88"/>
      <c r="AQ87" s="88"/>
      <c r="AR87" s="88"/>
      <c r="AS87" s="88"/>
      <c r="AT87" s="72"/>
      <c r="AU87" s="72"/>
      <c r="AV87" s="72"/>
    </row>
    <row r="88" ht="18.75" hidden="1" customHeight="1">
      <c r="A88" s="2"/>
      <c r="B88" s="4"/>
      <c r="C88" s="34"/>
      <c r="G88" s="35"/>
      <c r="H88" s="34"/>
      <c r="L88" s="35"/>
      <c r="M88" s="34"/>
      <c r="Q88" s="35"/>
      <c r="R88" s="34"/>
      <c r="V88" s="35"/>
      <c r="W88" s="34"/>
      <c r="AA88" s="35"/>
      <c r="AB88" s="34"/>
      <c r="AF88" s="35"/>
      <c r="AG88" s="4"/>
      <c r="AH88" s="3"/>
      <c r="AI88" s="3"/>
      <c r="AJ88" s="3"/>
      <c r="AK88" s="3"/>
      <c r="AL88" s="3"/>
      <c r="AM88" s="3"/>
      <c r="AN88" s="3"/>
      <c r="AO88" s="3"/>
      <c r="AP88" s="3"/>
      <c r="AQ88" s="3"/>
      <c r="AR88" s="3"/>
      <c r="AS88" s="3"/>
      <c r="AT88" s="3"/>
      <c r="AU88" s="3"/>
      <c r="AV88" s="3"/>
    </row>
    <row r="89" ht="18.75" hidden="1" customHeight="1">
      <c r="A89" s="2"/>
      <c r="B89" s="4"/>
      <c r="C89" s="34"/>
      <c r="G89" s="35"/>
      <c r="H89" s="34"/>
      <c r="L89" s="35"/>
      <c r="M89" s="34"/>
      <c r="Q89" s="35"/>
      <c r="R89" s="34"/>
      <c r="V89" s="35"/>
      <c r="W89" s="34"/>
      <c r="AA89" s="35"/>
      <c r="AB89" s="34"/>
      <c r="AF89" s="35"/>
      <c r="AG89" s="4"/>
      <c r="AH89" s="3"/>
      <c r="AI89" s="3"/>
      <c r="AJ89" s="3"/>
      <c r="AK89" s="3"/>
      <c r="AL89" s="3"/>
      <c r="AM89" s="3"/>
      <c r="AN89" s="3"/>
      <c r="AO89" s="3"/>
      <c r="AP89" s="3"/>
      <c r="AQ89" s="3"/>
      <c r="AR89" s="3"/>
      <c r="AS89" s="3"/>
      <c r="AT89" s="3"/>
      <c r="AU89" s="3"/>
      <c r="AV89" s="3"/>
    </row>
    <row r="90" ht="18.75" hidden="1" customHeight="1">
      <c r="A90" s="2"/>
      <c r="B90" s="4"/>
      <c r="C90" s="34"/>
      <c r="G90" s="35"/>
      <c r="H90" s="34"/>
      <c r="L90" s="35"/>
      <c r="M90" s="34"/>
      <c r="Q90" s="35"/>
      <c r="R90" s="34"/>
      <c r="V90" s="35"/>
      <c r="W90" s="34"/>
      <c r="AA90" s="35"/>
      <c r="AB90" s="34"/>
      <c r="AF90" s="35"/>
      <c r="AG90" s="4"/>
      <c r="AH90" s="3"/>
      <c r="AI90" s="3"/>
      <c r="AJ90" s="3"/>
      <c r="AK90" s="3"/>
      <c r="AL90" s="3"/>
      <c r="AM90" s="3"/>
      <c r="AN90" s="3"/>
      <c r="AO90" s="3"/>
      <c r="AP90" s="3"/>
      <c r="AQ90" s="3"/>
      <c r="AR90" s="3"/>
      <c r="AS90" s="3"/>
      <c r="AT90" s="3"/>
      <c r="AU90" s="3"/>
      <c r="AV90" s="3"/>
    </row>
    <row r="91" ht="18.75" hidden="1" customHeight="1">
      <c r="A91" s="2"/>
      <c r="B91" s="4"/>
      <c r="C91" s="48"/>
      <c r="D91" s="49"/>
      <c r="E91" s="49"/>
      <c r="F91" s="49"/>
      <c r="G91" s="50"/>
      <c r="H91" s="48"/>
      <c r="I91" s="49"/>
      <c r="J91" s="49"/>
      <c r="K91" s="49"/>
      <c r="L91" s="50"/>
      <c r="M91" s="48"/>
      <c r="N91" s="49"/>
      <c r="O91" s="49"/>
      <c r="P91" s="49"/>
      <c r="Q91" s="50"/>
      <c r="R91" s="48"/>
      <c r="S91" s="49"/>
      <c r="T91" s="49"/>
      <c r="U91" s="49"/>
      <c r="V91" s="50"/>
      <c r="W91" s="48"/>
      <c r="X91" s="49"/>
      <c r="Y91" s="49"/>
      <c r="Z91" s="49"/>
      <c r="AA91" s="50"/>
      <c r="AB91" s="48"/>
      <c r="AC91" s="49"/>
      <c r="AD91" s="49"/>
      <c r="AE91" s="49"/>
      <c r="AF91" s="50"/>
      <c r="AG91" s="4"/>
      <c r="AH91" s="3"/>
      <c r="AI91" s="3"/>
      <c r="AJ91" s="3"/>
      <c r="AK91" s="3"/>
      <c r="AL91" s="3"/>
      <c r="AM91" s="3"/>
      <c r="AN91" s="3"/>
      <c r="AO91" s="3"/>
      <c r="AP91" s="3"/>
      <c r="AQ91" s="3"/>
      <c r="AR91" s="3"/>
      <c r="AS91" s="3"/>
      <c r="AT91" s="3"/>
      <c r="AU91" s="3"/>
      <c r="AV91" s="3"/>
    </row>
    <row r="92" ht="18.75" hidden="1" customHeight="1">
      <c r="A92" s="2"/>
      <c r="B92" s="4"/>
      <c r="C92" s="4"/>
      <c r="D92" s="4"/>
      <c r="E92" s="4"/>
      <c r="F92" s="4"/>
      <c r="G92" s="4"/>
      <c r="H92" s="4"/>
      <c r="I92" s="4"/>
      <c r="J92" s="4"/>
      <c r="K92" s="4"/>
      <c r="L92" s="4"/>
      <c r="M92" s="4"/>
      <c r="N92" s="4"/>
      <c r="O92" s="4"/>
      <c r="P92" s="4"/>
      <c r="Q92" s="27"/>
      <c r="R92" s="4"/>
      <c r="S92" s="54"/>
      <c r="T92" s="82"/>
      <c r="U92" s="82"/>
      <c r="V92" s="82"/>
      <c r="W92" s="4"/>
      <c r="X92" s="4"/>
      <c r="Y92" s="4"/>
      <c r="Z92" s="4"/>
      <c r="AA92" s="4"/>
      <c r="AB92" s="4"/>
      <c r="AC92" s="4"/>
      <c r="AD92" s="4"/>
      <c r="AE92" s="4"/>
      <c r="AF92" s="4"/>
      <c r="AG92" s="4"/>
      <c r="AH92" s="3"/>
      <c r="AI92" s="3"/>
      <c r="AJ92" s="3"/>
      <c r="AK92" s="3"/>
      <c r="AL92" s="3"/>
      <c r="AM92" s="3"/>
      <c r="AN92" s="3"/>
      <c r="AO92" s="3"/>
      <c r="AP92" s="3"/>
      <c r="AQ92" s="3"/>
      <c r="AR92" s="3"/>
      <c r="AS92" s="3"/>
      <c r="AT92" s="3"/>
      <c r="AU92" s="3"/>
      <c r="AV92" s="3"/>
    </row>
    <row r="93" ht="18.75" hidden="1"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row>
  </sheetData>
  <mergeCells count="90">
    <mergeCell ref="C23:G27"/>
    <mergeCell ref="H23:L27"/>
    <mergeCell ref="M23:Q27"/>
    <mergeCell ref="R23:V27"/>
    <mergeCell ref="H28:L32"/>
    <mergeCell ref="M28:Q32"/>
    <mergeCell ref="R28:V32"/>
    <mergeCell ref="C28:G32"/>
    <mergeCell ref="C33:G37"/>
    <mergeCell ref="H33:L37"/>
    <mergeCell ref="M33:Q37"/>
    <mergeCell ref="R33:V37"/>
    <mergeCell ref="C38:G42"/>
    <mergeCell ref="H38:L42"/>
    <mergeCell ref="M55:Q59"/>
    <mergeCell ref="R55:V59"/>
    <mergeCell ref="W55:AA59"/>
    <mergeCell ref="AB55:AF59"/>
    <mergeCell ref="C45:G49"/>
    <mergeCell ref="H45:L49"/>
    <mergeCell ref="M45:Q49"/>
    <mergeCell ref="R45:V49"/>
    <mergeCell ref="B53:P53"/>
    <mergeCell ref="C55:G59"/>
    <mergeCell ref="H55:L59"/>
    <mergeCell ref="R65:V69"/>
    <mergeCell ref="W65:AA69"/>
    <mergeCell ref="R70:V74"/>
    <mergeCell ref="W70:AA74"/>
    <mergeCell ref="AB70:AF74"/>
    <mergeCell ref="R75:V79"/>
    <mergeCell ref="W75:AA79"/>
    <mergeCell ref="AB75:AF79"/>
    <mergeCell ref="C60:G64"/>
    <mergeCell ref="H60:L64"/>
    <mergeCell ref="M60:Q64"/>
    <mergeCell ref="R60:V64"/>
    <mergeCell ref="W60:AA64"/>
    <mergeCell ref="AB60:AF64"/>
    <mergeCell ref="C65:G69"/>
    <mergeCell ref="AB65:AF69"/>
    <mergeCell ref="C75:G79"/>
    <mergeCell ref="C80:G84"/>
    <mergeCell ref="H80:L84"/>
    <mergeCell ref="M80:Q84"/>
    <mergeCell ref="R80:V84"/>
    <mergeCell ref="W80:AA84"/>
    <mergeCell ref="AB80:AF84"/>
    <mergeCell ref="C87:G91"/>
    <mergeCell ref="H87:L91"/>
    <mergeCell ref="M87:Q91"/>
    <mergeCell ref="R87:V91"/>
    <mergeCell ref="W87:AA91"/>
    <mergeCell ref="AB87:AF91"/>
    <mergeCell ref="H65:L69"/>
    <mergeCell ref="M65:Q69"/>
    <mergeCell ref="C70:G74"/>
    <mergeCell ref="H70:L74"/>
    <mergeCell ref="M70:Q74"/>
    <mergeCell ref="H75:L79"/>
    <mergeCell ref="M75:Q79"/>
    <mergeCell ref="C3:AF11"/>
    <mergeCell ref="AJ3:AT9"/>
    <mergeCell ref="AJ10:AT11"/>
    <mergeCell ref="H13:L17"/>
    <mergeCell ref="M13:Q17"/>
    <mergeCell ref="R13:V17"/>
    <mergeCell ref="AK16:AS17"/>
    <mergeCell ref="C13:G17"/>
    <mergeCell ref="C18:G22"/>
    <mergeCell ref="H18:L22"/>
    <mergeCell ref="M18:Q22"/>
    <mergeCell ref="R18:V22"/>
    <mergeCell ref="W18:AA22"/>
    <mergeCell ref="AB18:AF22"/>
    <mergeCell ref="W33:AA37"/>
    <mergeCell ref="AB33:AF37"/>
    <mergeCell ref="M38:Q42"/>
    <mergeCell ref="R38:V42"/>
    <mergeCell ref="W38:AA42"/>
    <mergeCell ref="AB38:AF42"/>
    <mergeCell ref="W45:AA49"/>
    <mergeCell ref="AB45:AF49"/>
    <mergeCell ref="W13:AA17"/>
    <mergeCell ref="AB13:AF17"/>
    <mergeCell ref="AK18:AS48"/>
    <mergeCell ref="W23:AA27"/>
    <mergeCell ref="AB23:AF27"/>
    <mergeCell ref="W28:AA32"/>
    <mergeCell ref="AB28:AF3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25"/>
    <col customWidth="1" min="3" max="8" width="31.38"/>
    <col customWidth="1" min="9" max="10" width="3.25"/>
  </cols>
  <sheetData>
    <row r="1" ht="18.75" customHeight="1">
      <c r="A1" s="102"/>
      <c r="B1" s="102"/>
      <c r="C1" s="102"/>
      <c r="D1" s="102" t="str">
        <f>IFERROR(__xludf.DUMMYFUNCTION("IFERROR(FILTER('Individual Stats'!A:A,'Individual Stats'!Q:Q=""Steel Rings""),{""""})"),"")</f>
        <v/>
      </c>
      <c r="E1" s="102"/>
      <c r="F1" s="103"/>
      <c r="G1" s="102"/>
      <c r="H1" s="102"/>
      <c r="I1" s="102"/>
      <c r="J1" s="102"/>
    </row>
    <row r="2" ht="18.75" customHeight="1">
      <c r="A2" s="102"/>
      <c r="B2" s="104"/>
      <c r="C2" s="105"/>
      <c r="D2" s="105"/>
      <c r="E2" s="106"/>
      <c r="F2" s="107"/>
      <c r="G2" s="108"/>
      <c r="H2" s="108"/>
      <c r="I2" s="109"/>
      <c r="J2" s="110"/>
    </row>
    <row r="3">
      <c r="A3" s="102"/>
      <c r="B3" s="104"/>
      <c r="C3" s="111" t="s">
        <v>2</v>
      </c>
      <c r="D3" s="111" t="s">
        <v>3</v>
      </c>
      <c r="E3" s="111" t="s">
        <v>4</v>
      </c>
      <c r="F3" s="111" t="s">
        <v>5</v>
      </c>
      <c r="G3" s="111" t="s">
        <v>6</v>
      </c>
      <c r="H3" s="111" t="s">
        <v>7</v>
      </c>
      <c r="I3" s="112"/>
      <c r="J3" s="113"/>
    </row>
    <row r="4" ht="150.0" customHeight="1">
      <c r="A4" s="102"/>
      <c r="B4" s="114"/>
      <c r="C4" s="115" t="str">
        <f>IFERROR(__xludf.DUMMYFUNCTION("TEXTJOIN(CHAR(10), TRUE, BYROW('Individual Stats'!$A3:$AW20, LAMBDA(r, LET( player, INDEX(r, 1), drops, CHOOSECOLS(r, SEQUENCE(1, 35, 12)), IF(player="""", """", TEXTJOIN(CHAR(10), TRUE, MAP(drops, LAMBDA(drop, IF(drop="""", """", IF(ISNUMBER(SEARCH(C3, "&amp;""""" &amp; drop)), player &amp; "" - "" &amp; TRIM(REGEXREPLACE("""" &amp; drop, ""(?i)^"" &amp; C3 &amp; ""\s*[-–:]*\s*"", """")), """" ) ) )) ) ) ) )) )"),"FearBanana - Hallowfell
FearBanana - Hallowfell
FearBanana - Hallowfell
FearBanana - Hallowfell
FearBanana - Hallowfell
FearBanana - Hallowfell")</f>
        <v>FearBanana - Hallowfell
FearBanana - Hallowfell
FearBanana - Hallowfell
FearBanana - Hallowfell
FearBanana - Hallowfell
FearBanana - Hallowfell</v>
      </c>
      <c r="D4" s="115" t="str">
        <f>IFERROR(__xludf.DUMMYFUNCTION("TEXTJOIN(CHAR(10), TRUE, BYROW('Individual Stats'!$A3:$AW20, LAMBDA(r, LET( player, INDEX(r, 1), drops, CHOOSECOLS(r, SEQUENCE(1, 35, 12)), IF(player="""", """", TEXTJOIN(CHAR(10), TRUE, MAP(drops, LAMBDA(drop, IF(drop="""", """", IF(ISNUMBER(SEARCH(D3, "&amp;""""" &amp; drop)), player &amp; "" - "" &amp; TRIM(REGEXREPLACE("""" &amp; drop, ""(?i)^"" &amp; D3 &amp; ""\s*[-–:]*\s*"", """")), """" ) ) )) ) ) ) )) )"),"FearBanana - Hueycoatl Hide
HareForceOne - Hueycoatl Hide
IronDresser - Tome of Earth
IronDresser - Hueycoatl Hide
JaysunMimosa - Tome of Earth
The Beaks - Tome of Earth")</f>
        <v>FearBanana - Hueycoatl Hide
HareForceOne - Hueycoatl Hide
IronDresser - Tome of Earth
IronDresser - Hueycoatl Hide
JaysunMimosa - Tome of Earth
The Beaks - Tome of Earth</v>
      </c>
      <c r="E4" s="115" t="str">
        <f>IFERROR(__xludf.DUMMYFUNCTION("TEXTJOIN(CHAR(10), TRUE, BYROW('Individual Stats'!$A3:$AW20, LAMBDA(r, LET( player, INDEX(r, 1), drops, CHOOSECOLS(r, SEQUENCE(1, 35, 12)), IF(player="""", """", TEXTJOIN(CHAR(10), TRUE, MAP(drops, LAMBDA(drop, IF(drop="""", """", IF(ISNUMBER(SEARCH(E3, "&amp;""""" &amp; drop)), player &amp; "" - "" &amp; TRIM(REGEXREPLACE("""" &amp; drop, ""(?i)^"" &amp; E3 &amp; ""\s*[-–:]*\s*"", """")), """" ) ) )) ) ) ) )) )"),"Foresto - Granite Gloves
Foresto - Black Tourmaline Core
OdinswrathUN - Granite Ring
OdinswrathUN - Granite Maul
OdinswrathUN - Granite Maul
Suntj - Granite Maul
Suntj - Granite Ring")</f>
        <v>Foresto - Granite Gloves
Foresto - Black Tourmaline Core
OdinswrathUN - Granite Ring
OdinswrathUN - Granite Maul
OdinswrathUN - Granite Maul
Suntj - Granite Maul
Suntj - Granite Ring</v>
      </c>
      <c r="F4" s="115" t="str">
        <f>IFERROR(__xludf.DUMMYFUNCTION("TEXTJOIN(CHAR(10), TRUE, BYROW('Individual Stats'!$A3:$AW20, LAMBDA(r, LET( player, INDEX(r, 1), drops, CHOOSECOLS(r, SEQUENCE(1, 35, 12)), IF(player="""", """", TEXTJOIN(CHAR(10), TRUE, MAP(drops, LAMBDA(drop, IF(drop="""", """", IF(ISNUMBER(SEARCH(F3, "&amp;""""" &amp; drop)), player &amp; "" - "" &amp; TRIM(REGEXREPLACE("""" &amp; drop, ""(?i)^"" &amp; F3 &amp; ""\s*[-–:]*\s*"", """")), """" ) ) )) ) ) ) )) )"),"JamesMokka - Tormented Synapse
Pavlovs dog - Tormented Synapse
Swordfish ll - Burning Claw")</f>
        <v>JamesMokka - Tormented Synapse
Pavlovs dog - Tormented Synapse
Swordfish ll - Burning Claw</v>
      </c>
      <c r="G4" s="115" t="str">
        <f>IFERROR(__xludf.DUMMYFUNCTION("TEXTJOIN(CHAR(10), TRUE, BYROW('Individual Stats'!$A3:$AW20, LAMBDA(r, LET( player, INDEX(r, 1), drops, CHOOSECOLS(r, SEQUENCE(1, 35, 12)), IF(player="""", """", TEXTJOIN(CHAR(10), TRUE, MAP(drops, LAMBDA(drop, IF(drop="""", """", IF(ISNUMBER(SEARCH(G3, "&amp;""""" &amp; drop)), player &amp; "" - "" &amp; TRIM(REGEXREPLACE("""" &amp; drop, ""(?i)^"" &amp; G3 &amp; ""\s*[-–:]*\s*"", """")), """" ) ) )) ) ) ) )) )"),"Frangud - Smouldering Stone
HareForceOne - Smouldering Stone
HareForceOne - Eternal Crystal
Lowbob PVM - Eternal Crystal
Lowbob PVM - Smouldering Stone
sfsd - Eternal Crystal")</f>
        <v>Frangud - Smouldering Stone
HareForceOne - Smouldering Stone
HareForceOne - Eternal Crystal
Lowbob PVM - Eternal Crystal
Lowbob PVM - Smouldering Stone
sfsd - Eternal Crystal</v>
      </c>
      <c r="H4" s="115" t="str">
        <f>IFERROR(__xludf.DUMMYFUNCTION("TEXTJOIN(CHAR(10), TRUE, BYROW('Individual Stats'!$A3:$AW20, LAMBDA(r, LET( player, INDEX(r, 1), drops, CHOOSECOLS(r, SEQUENCE(1, 35, 12)), IF(player="""", """", TEXTJOIN(CHAR(10), TRUE, MAP(drops, LAMBDA(drop, IF(drop="""", """", IF(ISNUMBER(SEARCH(H3, "&amp;""""" &amp; drop)), player &amp; "" - "" &amp; TRIM(REGEXREPLACE("""" &amp; drop, ""(?i)^"" &amp; H3 &amp; ""\s*[-–:]*\s*"", """")), """" ) ) )) ) ) ) )) )"),"Iron bm king - Dexterous Prayer Scroll
Iron bm king - Ancestral Piece (any)
Iron bm king - Dexterous Prayer Scroll")</f>
        <v>Iron bm king - Dexterous Prayer Scroll
Iron bm king - Ancestral Piece (any)
Iron bm king - Dexterous Prayer Scroll</v>
      </c>
      <c r="I4" s="112"/>
      <c r="J4" s="113"/>
    </row>
    <row r="5" ht="18.75" customHeight="1">
      <c r="A5" s="102"/>
      <c r="B5" s="114"/>
      <c r="C5" s="116" t="s">
        <v>8</v>
      </c>
      <c r="D5" s="116" t="s">
        <v>9</v>
      </c>
      <c r="E5" s="116" t="s">
        <v>10</v>
      </c>
      <c r="F5" s="116" t="s">
        <v>11</v>
      </c>
      <c r="G5" s="116" t="s">
        <v>12</v>
      </c>
      <c r="H5" s="116" t="s">
        <v>13</v>
      </c>
      <c r="I5" s="112"/>
      <c r="J5" s="113"/>
    </row>
    <row r="6" ht="150.0" customHeight="1">
      <c r="A6" s="102"/>
      <c r="B6" s="114"/>
      <c r="C6" s="115" t="str">
        <f>IFERROR(__xludf.DUMMYFUNCTION("TEXTJOIN(CHAR(10), TRUE, BYROW('Individual Stats'!$A3:$AW20, LAMBDA(r, LET( player, INDEX(r, 1), drops, CHOOSECOLS(r, SEQUENCE(1, 35, 12)), IF(player="""", """", TEXTJOIN(CHAR(10), TRUE, MAP(drops, LAMBDA(drop, IF(drop="""", """", IF(ISNUMBER(SEARCH(C5, "&amp;""""" &amp; drop)), player &amp; "" - "" &amp; TRIM(REGEXREPLACE("""" &amp; drop, ""(?i)^"" &amp; C5 &amp; ""\s*[-–:]*\s*"", """")), """" ) ) )) ) ) ) )) )"),"em19em19 - Spiked Manacles
Foresto - Ranger Boots
Henacy - Holy Sandals
UK HMRC - Climbing Boots (g)
UK HMRC - Spiked Manacles")</f>
        <v>em19em19 - Spiked Manacles
Foresto - Ranger Boots
Henacy - Holy Sandals
UK HMRC - Climbing Boots (g)
UK HMRC - Spiked Manacles</v>
      </c>
      <c r="D6" s="115" t="str">
        <f>IFERROR(__xludf.DUMMYFUNCTION("TEXTJOIN(CHAR(10), TRUE, BYROW('Individual Stats'!$A3:$AW20, LAMBDA(r, LET( player, INDEX(r, 1), drops, CHOOSECOLS(r, SEQUENCE(1, 35, 12)), IF(player="""", """", TEXTJOIN(CHAR(10), TRUE, MAP(drops, LAMBDA(drop, IF(drop="""", """", IF(ISNUMBER(SEARCH(D5, "&amp;""""" &amp; drop)), player &amp; "" - "" &amp; TRIM(REGEXREPLACE("""" &amp; drop, ""(?i)^"" &amp; D5 &amp; ""\s*[-–:]*\s*"", """")), """" ) ) )) ) ) ) )) )"),"Papi Aksta - Soulflame Horn")</f>
        <v>Papi Aksta - Soulflame Horn</v>
      </c>
      <c r="E6" s="115" t="str">
        <f>IFERROR(__xludf.DUMMYFUNCTION("TEXTJOIN(CHAR(10), TRUE, BYROW('Individual Stats'!$A3:$AW20, LAMBDA(r, LET( player, INDEX(r, 1), drops, CHOOSECOLS(r, SEQUENCE(1, 35, 12)), IF(player="""", """", TEXTJOIN(CHAR(10), TRUE, MAP(drops, LAMBDA(drop, IF(drop="""", """", IF(ISNUMBER(SEARCH(E5, "&amp;""""" &amp; drop)), player &amp; "" - "" &amp; TRIM(REGEXREPLACE("""" &amp; drop, ""(?i)^"" &amp; E5 &amp; ""\s*[-–:]*\s*"", """")), """" ) ) )) ) ) ) )) )"),"ShermyX - Soaked Pages X 25
ShermyX - Tome of Water
ShermyX - Soaked Pages X 25
ShermyX - Soaked Pages X 25
ShermyX - Soaked Pages X 25
ShermyX - Soaked Pages X 25
ShermyX - Soaked Pages X 25
ShermyX - Soaked Pages X 25
ShermyX - Soaked Pages X 25")</f>
        <v>ShermyX - Soaked Pages X 25
ShermyX - Tome of Water
ShermyX - Soaked Pages X 25
ShermyX - Soaked Pages X 25
ShermyX - Soaked Pages X 25
ShermyX - Soaked Pages X 25
ShermyX - Soaked Pages X 25
ShermyX - Soaked Pages X 25
ShermyX - Soaked Pages X 25</v>
      </c>
      <c r="F6" s="115" t="str">
        <f>IFERROR(__xludf.DUMMYFUNCTION("TEXTJOIN(CHAR(10), TRUE, BYROW('Individual Stats'!$A3:$AW20, LAMBDA(r, LET( player, INDEX(r, 1), drops, CHOOSECOLS(r, SEQUENCE(1, 35, 12)), IF(player="""", """", TEXTJOIN(CHAR(10), TRUE, MAP(drops, LAMBDA(drop, IF(drop="""", """", IF(ISNUMBER(SEARCH(F5, "&amp;""""" &amp; drop)), player &amp; "" - "" &amp; TRIM(REGEXREPLACE("""" &amp; drop, ""(?i)^"" &amp; F5 &amp; ""\s*[-–:]*\s*"", """")), """" ) ) )) ) ) ) )) )"),"")</f>
        <v/>
      </c>
      <c r="G6" s="115" t="str">
        <f>IFERROR(__xludf.DUMMYFUNCTION("TEXTJOIN(CHAR(10), TRUE, BYROW('Individual Stats'!$A3:$AW20, LAMBDA(r, LET( player, INDEX(r, 1), drops, CHOOSECOLS(r, SEQUENCE(1, 35, 12)), IF(player="""", """", TEXTJOIN(CHAR(10), TRUE, MAP(drops, LAMBDA(drop, IF(drop="""", """", IF(ISNUMBER(SEARCH(G5, "&amp;""""" &amp; drop)), player &amp; "" - "" &amp; TRIM(REGEXREPLACE("""" &amp; drop, ""(?i)^"" &amp; G5 &amp; ""\s*[-–:]*\s*"", """")), """" ) ) )) ) ) ) )) )"),"Foresto - Belle's Folly
Frangud - Dragon Harpoon
GIMhimejoshi - Abyssal Whip
GIMhimejoshi - Abyssal Head
MiaTheDuck3 - Leaf-bladed Sword
MiaTheDuck3 - Leaf-bladed Sword
MiaTheDuck3 - Leaf-bladed Sword
Suntj - Basilisk Head
Suntj - Basilisk Jaw")</f>
        <v>Foresto - Belle's Folly
Frangud - Dragon Harpoon
GIMhimejoshi - Abyssal Whip
GIMhimejoshi - Abyssal Head
MiaTheDuck3 - Leaf-bladed Sword
MiaTheDuck3 - Leaf-bladed Sword
MiaTheDuck3 - Leaf-bladed Sword
Suntj - Basilisk Head
Suntj - Basilisk Jaw</v>
      </c>
      <c r="H6" s="115" t="str">
        <f>IFERROR(__xludf.DUMMYFUNCTION("TEXTJOIN(CHAR(10), TRUE, BYROW('Individual Stats'!$A3:$AW20, LAMBDA(r, LET( player, INDEX(r, 1), drops, CHOOSECOLS(r, SEQUENCE(1, 35, 12)), IF(player="""", """", TEXTJOIN(CHAR(10), TRUE, MAP(drops, LAMBDA(drop, IF(drop="""", """", IF(ISNUMBER(SEARCH(H5, "&amp;""""" &amp; drop)), player &amp; "" - "" &amp; TRIM(REGEXREPLACE("""" &amp; drop, ""(?i)^"" &amp; H5 &amp; ""\s*[-–:]*\s*"", """")), """" ) ) )) ) ) ) )) )"),"Foresto - Zenyte Shard
IMfinish - Ballista Limbs
IMfinish - Ballista Spring
IMfinish - Ballista Spring
IMfinish - Monkey Tail
Swordfish ll - Ballista Limbs
Y e l l a a - Monkey Tail")</f>
        <v>Foresto - Zenyte Shard
IMfinish - Ballista Limbs
IMfinish - Ballista Spring
IMfinish - Ballista Spring
IMfinish - Monkey Tail
Swordfish ll - Ballista Limbs
Y e l l a a - Monkey Tail</v>
      </c>
      <c r="I6" s="112"/>
      <c r="J6" s="113"/>
    </row>
    <row r="7" ht="18.75" customHeight="1">
      <c r="A7" s="102"/>
      <c r="B7" s="114"/>
      <c r="C7" s="116" t="s">
        <v>14</v>
      </c>
      <c r="D7" s="116" t="s">
        <v>15</v>
      </c>
      <c r="E7" s="116" t="s">
        <v>16</v>
      </c>
      <c r="F7" s="116" t="s">
        <v>17</v>
      </c>
      <c r="G7" s="116" t="s">
        <v>18</v>
      </c>
      <c r="H7" s="116" t="s">
        <v>19</v>
      </c>
      <c r="I7" s="112"/>
      <c r="J7" s="113"/>
    </row>
    <row r="8" ht="150.0" customHeight="1">
      <c r="A8" s="102"/>
      <c r="B8" s="114"/>
      <c r="C8" s="115" t="str">
        <f>IFERROR(__xludf.DUMMYFUNCTION("TEXTJOIN(CHAR(10), TRUE, BYROW('Individual Stats'!$A3:$AW20, LAMBDA(r, LET( player, INDEX(r, 1), drops, CHOOSECOLS(r, SEQUENCE(1, 35, 12)), IF(player="""", """", TEXTJOIN(CHAR(10), TRUE, MAP(drops, LAMBDA(drop, IF(drop="""", """", IF(ISNUMBER(SEARCH(C7, "&amp;""""" &amp; drop)), player &amp; "" - "" &amp; TRIM(REGEXREPLACE("""" &amp; drop, ""(?i)^"" &amp; C7 &amp; ""\s*[-–:]*\s*"", """")), """" ) ) )) ) ) ) )) )"),"")</f>
        <v/>
      </c>
      <c r="D8" s="115" t="str">
        <f>IFERROR(__xludf.DUMMYFUNCTION("TEXTJOIN(CHAR(10), TRUE, BYROW('Individual Stats'!$A3:$AW20, LAMBDA(r, LET( player, INDEX(r, 1), drops, CHOOSECOLS(r, SEQUENCE(1, 35, 12)), IF(player="""", """", TEXTJOIN(CHAR(10), TRUE, MAP(drops, LAMBDA(drop, IF(drop="""", """", IF(ISNUMBER(SEARCH(D7, "&amp;""""" &amp; drop)), player &amp; "" - "" &amp; TRIM(REGEXREPLACE("""" &amp; drop, ""(?i)^"" &amp; D7 &amp; ""\s*[-–:]*\s*"", """")), """" ) ) )) ) ) ) )) )"),"Frangud - Vorkath's Head
HareForceOne - Vorkath's Head
HareForceOne - Vorkath's Head
HareForceOne - Jar of Decay
HareForceOne - Vorkath's Head
OdinswrathUN - Vorkath's Head
Suntj - Vorkath's Head")</f>
        <v>Frangud - Vorkath's Head
HareForceOne - Vorkath's Head
HareForceOne - Vorkath's Head
HareForceOne - Jar of Decay
HareForceOne - Vorkath's Head
OdinswrathUN - Vorkath's Head
Suntj - Vorkath's Head</v>
      </c>
      <c r="E8" s="115" t="str">
        <f>IFERROR(__xludf.DUMMYFUNCTION("TEXTJOIN(CHAR(10), TRUE, BYROW('Individual Stats'!$A3:$AW20, LAMBDA(r, LET( player, INDEX(r, 1), drops, CHOOSECOLS(r, SEQUENCE(1, 35, 12)), IF(player="""", """", TEXTJOIN(CHAR(10), TRUE, MAP(drops, LAMBDA(drop, IF(drop="""", """", IF(ISNUMBER(SEARCH(E7, "&amp;""""" &amp; drop)), player &amp; "" - "" &amp; TRIM(REGEXREPLACE("""" &amp; drop, ""(?i)^"" &amp; E7 &amp; ""\s*[-–:]*\s*"", """")), """" ) ) )) ) ) ) )) )"),"JaysunMimosa - Masori Piece (any)
Smokey Dro - Lightbearer
Smokey Dro - Osmunten's Fang")</f>
        <v>JaysunMimosa - Masori Piece (any)
Smokey Dro - Lightbearer
Smokey Dro - Osmunten's Fang</v>
      </c>
      <c r="F8" s="115" t="str">
        <f>IFERROR(__xludf.DUMMYFUNCTION("TEXTJOIN(CHAR(10), TRUE, BYROW('Individual Stats'!$A3:$AW20, LAMBDA(r, LET( player, INDEX(r, 1), drops, CHOOSECOLS(r, SEQUENCE(1, 35, 12)), IF(player="""", """", TEXTJOIN(CHAR(10), TRUE, MAP(drops, LAMBDA(drop, IF(drop="""", """", IF(ISNUMBER(SEARCH(F7, "&amp;""""" &amp; drop)), player &amp; "" - "" &amp; TRIM(REGEXREPLACE("""" &amp; drop, ""(?i)^"" &amp; F7 &amp; ""\s*[-–:]*\s*"", """")), """" ) ) )) ) ) ) )) )"),"")</f>
        <v/>
      </c>
      <c r="G8" s="115" t="str">
        <f>IFERROR(__xludf.DUMMYFUNCTION("TEXTJOIN(CHAR(10), TRUE, BYROW('Individual Stats'!$A3:$AW20, LAMBDA(r, LET( player, INDEX(r, 1), drops, CHOOSECOLS(r, SEQUENCE(1, 35, 12)), IF(player="""", """", TEXTJOIN(CHAR(10), TRUE, MAP(drops, LAMBDA(drop, IF(drop="""", """", IF(ISNUMBER(SEARCH(G7, "&amp;""""" &amp; drop)), player &amp; "" - "" &amp; TRIM(REGEXREPLACE("""" &amp; drop, ""(?i)^"" &amp; G7 &amp; ""\s*[-–:]*\s*"", """")), """" ) ) )) ) ) ) )) )"),"Foresto - Venator Shard
Foresto - Venator Shard
IronDresser - Venator Shard
Suntj - Venator Shard
Suntj - Muphin")</f>
        <v>Foresto - Venator Shard
Foresto - Venator Shard
IronDresser - Venator Shard
Suntj - Venator Shard
Suntj - Muphin</v>
      </c>
      <c r="H8" s="117" t="str">
        <f>IFERROR(__xludf.DUMMYFUNCTION("TEXTJOIN(CHAR(10), TRUE, BYROW('Individual Stats'!$A3:$AW20, LAMBDA(r, LET( player, INDEX(r, 1), drops, CHOOSECOLS(r, SEQUENCE(1, 35, 12)), IF(player="""", """", TEXTJOIN(CHAR(10), TRUE, MAP(drops, LAMBDA(drop, IF(drop="""", """", IF(ISNUMBER(SEARCH(H7, "&amp;""""" &amp; drop)), player &amp; "" - "" &amp; TRIM(REGEXREPLACE("""" &amp; drop, ""(?i)^"" &amp; H7 &amp; ""\s*[-–:]*\s*"", """")), """" ) ) )) ) ) ) )) )"),"FearBanana - Ice Element Staff Crown
Frangud - Ice Element Staff Crown
Frangud - Bran
JaysunMimosa - Mystic Vigour Prayer Scroll
Pavlovs dog - Ice Element Staff Crown
sfsd - Ice Element Staff Crown
The Beaks - Fire Element Staff Crown
UK HMRC - Deadeye Pr"&amp;"ayer Scroll
UK HMRC - Mystic Vigour Prayer Scroll")</f>
        <v>FearBanana - Ice Element Staff Crown
Frangud - Ice Element Staff Crown
Frangud - Bran
JaysunMimosa - Mystic Vigour Prayer Scroll
Pavlovs dog - Ice Element Staff Crown
sfsd - Ice Element Staff Crown
The Beaks - Fire Element Staff Crown
UK HMRC - Deadeye Prayer Scroll
UK HMRC - Mystic Vigour Prayer Scroll</v>
      </c>
      <c r="I8" s="112"/>
      <c r="J8" s="113"/>
    </row>
    <row r="9" ht="18.75" customHeight="1">
      <c r="A9" s="118"/>
      <c r="B9" s="119"/>
      <c r="C9" s="116" t="s">
        <v>20</v>
      </c>
      <c r="D9" s="120" t="s">
        <v>21</v>
      </c>
      <c r="E9" s="116" t="s">
        <v>22</v>
      </c>
      <c r="F9" s="116" t="s">
        <v>23</v>
      </c>
      <c r="G9" s="116" t="s">
        <v>24</v>
      </c>
      <c r="H9" s="116" t="s">
        <v>25</v>
      </c>
      <c r="I9" s="119"/>
      <c r="J9" s="113"/>
    </row>
    <row r="10" ht="150.0" customHeight="1">
      <c r="A10" s="102"/>
      <c r="B10" s="121"/>
      <c r="C10" s="115" t="str">
        <f>IFERROR(__xludf.DUMMYFUNCTION("TEXTJOIN(CHAR(10), TRUE, BYROW('Individual Stats'!$A3:$AW20, LAMBDA(r, LET( player, INDEX(r, 1), drops, CHOOSECOLS(r, SEQUENCE(1, 35, 12)), IF(player="""", """", TEXTJOIN(CHAR(10), TRUE, MAP(drops, LAMBDA(drop, IF(drop="""", """", IF(ISNUMBER(SEARCH(C9, "&amp;""""" &amp; drop)), player &amp; "" - "" &amp; TRIM(REGEXREPLACE("""" &amp; drop, ""(?i)^"" &amp; C9 &amp; ""\s*[-–:]*\s*"", """")), """" ) ) )) ) ) ) )) )"),"ShermyX - Tome of Fire")</f>
        <v>ShermyX - Tome of Fire</v>
      </c>
      <c r="D10" s="115" t="str">
        <f>IFERROR(__xludf.DUMMYFUNCTION("TEXTJOIN(CHAR(10), TRUE, BYROW('Individual Stats'!$A3:$AW20, LAMBDA(r, LET( player, INDEX(r, 1), drops, CHOOSECOLS(r, SEQUENCE(1, 35, 12)), IF(player="""", """", TEXTJOIN(CHAR(10), TRUE, MAP(drops, LAMBDA(drop, IF(drop="""", """", IF(ISNUMBER(SEARCH(D9, "&amp;""""" &amp; drop)), player &amp; "" - "" &amp; TRIM(REGEXREPLACE("""" &amp; drop, ""(?i)^"" &amp; D9 &amp; ""\s*[-–:]*\s*"", """")), """" ) ) )) ) ) ) )) )"),"HareForceOne - Araxyte Head
IronDresser - Jar of Venom
IronDresser - Noxious Piece (any)
IronDresser - Noxious Piece (any)
IronDresser - Noxious Piece (any)
Lowbob PVM - Noxious Piece (any)")</f>
        <v>HareForceOne - Araxyte Head
IronDresser - Jar of Venom
IronDresser - Noxious Piece (any)
IronDresser - Noxious Piece (any)
IronDresser - Noxious Piece (any)
Lowbob PVM - Noxious Piece (any)</v>
      </c>
      <c r="E10" s="115" t="str">
        <f>IFERROR(__xludf.DUMMYFUNCTION("TEXTJOIN(CHAR(10), TRUE, BYROW('Individual Stats'!$A3:$AW20, LAMBDA(r, LET( player, INDEX(r, 1), drops, CHOOSECOLS(r, SEQUENCE(1, 35, 12)), IF(player="""", """", TEXTJOIN(CHAR(10), TRUE, MAP(drops, LAMBDA(drop, IF(drop="""", """", IF(ISNUMBER(SEARCH(E9, "&amp;""""" &amp; drop)), player &amp; "" - "" &amp; TRIM(REGEXREPLACE("""" &amp; drop, ""(?i)^"" &amp; E9 &amp; ""\s*[-–:]*\s*"", """")), """" ) ) )) ) ) ) )) )"),"sfsd - Tanzanite Fang
sfsd - Uncut Onyx
Swordfish ll - Tanzanite Fang
Swordfish ll - Serpentine Visage
Swordfish ll - Magic Fang
Y e l l a a - Tanzanite Fang")</f>
        <v>sfsd - Tanzanite Fang
sfsd - Uncut Onyx
Swordfish ll - Tanzanite Fang
Swordfish ll - Serpentine Visage
Swordfish ll - Magic Fang
Y e l l a a - Tanzanite Fang</v>
      </c>
      <c r="F10" s="115" t="str">
        <f>IFERROR(__xludf.DUMMYFUNCTION("TEXTJOIN(CHAR(10), TRUE, BYROW('Individual Stats'!$A3:$AW20, LAMBDA(r, LET( player, INDEX(r, 1), drops, CHOOSECOLS(r, SEQUENCE(1, 35, 12)), IF(player="""", """", TEXTJOIN(CHAR(10), TRUE, MAP(drops, LAMBDA(drop, IF(drop="""", """", IF(ISNUMBER(SEARCH(F9, "&amp;""""" &amp; drop)), player &amp; "" - "" &amp; TRIM(REGEXREPLACE("""" &amp; drop, ""(?i)^"" &amp; F9 &amp; ""\s*[-–:]*\s*"", """")), """" ) ) )) ) ) ) )) )"),"Faultiest - Zombie Axe
Faultiest - Zombie Helm
Faultiest - Zombie Helm
Faultiest - Zombie Helm
Faultiest - Zombie Helm
Faultiest - Zombie Axe
Faultiest - Zombie Axe
Faultiest - Zombie Axe")</f>
        <v>Faultiest - Zombie Axe
Faultiest - Zombie Helm
Faultiest - Zombie Helm
Faultiest - Zombie Helm
Faultiest - Zombie Helm
Faultiest - Zombie Axe
Faultiest - Zombie Axe
Faultiest - Zombie Axe</v>
      </c>
      <c r="G10" s="115" t="str">
        <f>IFERROR(__xludf.DUMMYFUNCTION("TEXTJOIN(CHAR(10), TRUE, BYROW('Individual Stats'!$A3:$AW20, LAMBDA(r, LET( player, INDEX(r, 1), drops, CHOOSECOLS(r, SEQUENCE(1, 35, 12)), IF(player="""", """", TEXTJOIN(CHAR(10), TRUE, MAP(drops, LAMBDA(drop, IF(drop="""", """", IF(ISNUMBER(SEARCH(G9, "&amp;""""" &amp; drop)), player &amp; "" - "" &amp; TRIM(REGEXREPLACE("""" &amp; drop, ""(?i)^"" &amp; G9 &amp; ""\s*[-–:]*\s*"", """")), """" ) ) )) ) ) ) )) )"),"Iron bm king - Dom
Iron bm king - Dom
Papi Aksta - Eye of Ayak")</f>
        <v>Iron bm king - Dom
Iron bm king - Dom
Papi Aksta - Eye of Ayak</v>
      </c>
      <c r="H10" s="115" t="str">
        <f>IFERROR(__xludf.DUMMYFUNCTION("TEXTJOIN(CHAR(10), TRUE, BYROW('Individual Stats'!$A3:$AW20, LAMBDA(r, LET( player, INDEX(r, 1), drops, CHOOSECOLS(r, SEQUENCE(1, 35, 12)), IF(player="""", """", TEXTJOIN(CHAR(10), TRUE, MAP(drops, LAMBDA(drop, IF(drop="""", """", IF(ISNUMBER(SEARCH(H9, "&amp;""""" &amp; drop)), player &amp; "" - "" &amp; TRIM(REGEXREPLACE("""" &amp; drop, ""(?i)^"" &amp; H9 &amp; ""\s*[-–:]*\s*"", """")), """" ) ) )) ) ) ) )) )"),"Frangud - Unsired
Frangud - Unsired
Lowbob PVM - Unsired
Y e l l a a - Unsired
Y e l l a a - Unsired")</f>
        <v>Frangud - Unsired
Frangud - Unsired
Lowbob PVM - Unsired
Y e l l a a - Unsired
Y e l l a a - Unsired</v>
      </c>
      <c r="I10" s="121"/>
      <c r="J10" s="113"/>
    </row>
    <row r="11" ht="18.75" customHeight="1">
      <c r="A11" s="102"/>
      <c r="B11" s="114"/>
      <c r="C11" s="116" t="s">
        <v>26</v>
      </c>
      <c r="D11" s="116" t="s">
        <v>27</v>
      </c>
      <c r="E11" s="116" t="s">
        <v>28</v>
      </c>
      <c r="F11" s="116" t="s">
        <v>29</v>
      </c>
      <c r="G11" s="116" t="s">
        <v>30</v>
      </c>
      <c r="H11" s="116" t="s">
        <v>31</v>
      </c>
      <c r="I11" s="112"/>
      <c r="J11" s="113"/>
    </row>
    <row r="12" ht="150.0" customHeight="1">
      <c r="A12" s="102"/>
      <c r="B12" s="114"/>
      <c r="C12" s="115" t="str">
        <f>IFERROR(__xludf.DUMMYFUNCTION("TEXTJOIN(CHAR(10), TRUE, BYROW('Individual Stats'!$A3:$AW20, LAMBDA(r, LET( player, INDEX(r, 1), drops, CHOOSECOLS(r, SEQUENCE(1, 35, 12)), IF(player="""", """", TEXTJOIN(CHAR(10), TRUE, MAP(drops, LAMBDA(drop, IF(drop="""", """", IF(ISNUMBER(SEARCH(C11, "&amp;""""" &amp; drop)), player &amp; "" - "" &amp; TRIM(REGEXREPLACE("""" &amp; drop, ""(?i)^"" &amp; C11 &amp; ""\s*[-–:]*\s*"", """")), """" ) ) )) ) ) ) )) )"),"HareForceOne - Hydra's Leather
HareForceOne - Hydra's Leather
Lowbob PVM - Jar of Chemicals")</f>
        <v>HareForceOne - Hydra's Leather
HareForceOne - Hydra's Leather
Lowbob PVM - Jar of Chemicals</v>
      </c>
      <c r="D12" s="115" t="str">
        <f>IFERROR(__xludf.DUMMYFUNCTION("TEXTJOIN(CHAR(10), TRUE, BYROW('Individual Stats'!$A3:$AW20, LAMBDA(r, LET( player, INDEX(r, 1), drops, CHOOSECOLS(r, SEQUENCE(1, 35, 12)), IF(player="""", """", TEXTJOIN(CHAR(10), TRUE, MAP(drops, LAMBDA(drop, IF(drop="""", """", IF(ISNUMBER(SEARCH(D11, "&amp;""""" &amp; drop)), player &amp; "" - "" &amp; TRIM(REGEXREPLACE("""" &amp; drop, ""(?i)^"" &amp; D11 &amp; ""\s*[-–:]*\s*"", """")), """" ) ) )) ) ) ) )) )"),"JaysunMimosa - Crystal Tool Seed")</f>
        <v>JaysunMimosa - Crystal Tool Seed</v>
      </c>
      <c r="E12" s="115" t="str">
        <f>IFERROR(__xludf.DUMMYFUNCTION("TEXTJOIN(CHAR(10), TRUE, BYROW('Individual Stats'!$A3:$AW20, LAMBDA(r, LET( player, INDEX(r, 1), drops, CHOOSECOLS(r, SEQUENCE(1, 35, 12)), IF(player="""", """", TEXTJOIN(CHAR(10), TRUE, MAP(drops, LAMBDA(drop, IF(drop="""", """", IF(ISNUMBER(SEARCH(E11, "&amp;""""" &amp; drop)), player &amp; "" - "" &amp; TRIM(REGEXREPLACE("""" &amp; drop, ""(?i)^"" &amp; E11 &amp; ""\s*[-–:]*\s*"", """")), """" ) ) )) ) ) ) )) )"),"Foresto - Scurrius' Spine
Gas Stone86 - Scurrius' Spine
Gas Stone86 - Scurrius' Spine
JamesMokka - Scurrius' Spine
MiaTheDuck3 - Scurrius' Spine
Pavlovs dog - Scurrius' Spine
Pavlovs dog - Scurrius' Spine
Pavlovs dog - Scurrius' Spine
Suntj - Scurrius' Sp"&amp;"ine
Suntj - Scurrius' Spine")</f>
        <v>Foresto - Scurrius' Spine
Gas Stone86 - Scurrius' Spine
Gas Stone86 - Scurrius' Spine
JamesMokka - Scurrius' Spine
MiaTheDuck3 - Scurrius' Spine
Pavlovs dog - Scurrius' Spine
Pavlovs dog - Scurrius' Spine
Pavlovs dog - Scurrius' Spine
Suntj - Scurrius' Spine
Suntj - Scurrius' Spine</v>
      </c>
      <c r="F12" s="115" t="str">
        <f>IFERROR(__xludf.DUMMYFUNCTION("TEXTJOIN(CHAR(10), TRUE, BYROW('Individual Stats'!$A3:$AW20, LAMBDA(r, LET( player, INDEX(r, 1), drops, CHOOSECOLS(r, SEQUENCE(1, 35, 12)), IF(player="""", """", TEXTJOIN(CHAR(10), TRUE, MAP(drops, LAMBDA(drop, IF(drop="""", """", IF(ISNUMBER(SEARCH(F11, "&amp;""""" &amp; drop)), player &amp; "" - "" &amp; TRIM(REGEXREPLACE("""" &amp; drop, ""(?i)^"" &amp; F11 &amp; ""\s*[-–:]*\s*"", """")), """" ) ) )) ) ) ) )) )"),"Frangud - Crystal Armour Seed
IronDresser - Crystal Weapon Seed
IronDresser - Crystal Weapon Seed
Pavlovs dog - Crystal Weapon Seed
Pavlovs dog - Enhanced Crystal Weapon Seed
Suntj - Crystal Weapon Seed")</f>
        <v>Frangud - Crystal Armour Seed
IronDresser - Crystal Weapon Seed
IronDresser - Crystal Weapon Seed
Pavlovs dog - Crystal Weapon Seed
Pavlovs dog - Enhanced Crystal Weapon Seed
Suntj - Crystal Weapon Seed</v>
      </c>
      <c r="G12" s="115" t="str">
        <f>IFERROR(__xludf.DUMMYFUNCTION("TEXTJOIN(CHAR(10), TRUE, BYROW('Individual Stats'!$A3:$AW20, LAMBDA(r, LET( player, INDEX(r, 1), drops, CHOOSECOLS(r, SEQUENCE(1, 35, 12)), IF(player="""", """", TEXTJOIN(CHAR(10), TRUE, MAP(drops, LAMBDA(drop, IF(drop="""", """", IF(ISNUMBER(SEARCH(G11, "&amp;""""" &amp; drop)), player &amp; "" - "" &amp; TRIM(REGEXREPLACE("""" &amp; drop, ""(?i)^"" &amp; G11 &amp; ""\s*[-–:]*\s*"", """")), """" ) ) )) ) ) ) )) )"),"FearBanana - Jeweller's Chisel
IMfinish - Fletching Knife
IMfinish - Jeweller's Chisel
UK HMRC - Jeweller's Chisel")</f>
        <v>FearBanana - Jeweller's Chisel
IMfinish - Fletching Knife
IMfinish - Jeweller's Chisel
UK HMRC - Jeweller's Chisel</v>
      </c>
      <c r="H12" s="115" t="str">
        <f>IFERROR(__xludf.DUMMYFUNCTION("TEXTJOIN(CHAR(10), TRUE, BYROW('Individual Stats'!$A3:$AW20, LAMBDA(r, LET( player, INDEX(r, 1), drops, CHOOSECOLS(r, SEQUENCE(1, 35, 12)), IF(player="""", """", TEXTJOIN(CHAR(10), TRUE, MAP(drops, LAMBDA(drop, IF(drop="""", """", IF(ISNUMBER(SEARCH(H11, "&amp;""""" &amp; drop)), player &amp; "" - "" &amp; TRIM(REGEXREPLACE("""" &amp; drop, ""(?i)^"" &amp; H11 &amp; ""\s*[-–:]*\s*"", """")), """" ) ) )) ) ) ) )) )"),"Arcane0214 - Elder Venator Fang")</f>
        <v>Arcane0214 - Elder Venator Fang</v>
      </c>
      <c r="I12" s="112"/>
      <c r="J12" s="113"/>
    </row>
    <row r="13" ht="18.75" customHeight="1">
      <c r="A13" s="102"/>
      <c r="B13" s="114"/>
      <c r="C13" s="116" t="s">
        <v>32</v>
      </c>
      <c r="D13" s="116" t="s">
        <v>33</v>
      </c>
      <c r="E13" s="116" t="s">
        <v>34</v>
      </c>
      <c r="F13" s="116" t="s">
        <v>35</v>
      </c>
      <c r="G13" s="116" t="s">
        <v>36</v>
      </c>
      <c r="H13" s="116" t="s">
        <v>37</v>
      </c>
      <c r="I13" s="112"/>
      <c r="J13" s="113"/>
    </row>
    <row r="14" ht="150.0" customHeight="1">
      <c r="A14" s="102"/>
      <c r="B14" s="114"/>
      <c r="C14" s="115" t="str">
        <f>IFERROR(__xludf.DUMMYFUNCTION("TEXTJOIN(CHAR(10), TRUE, BYROW('Individual Stats'!$A3:$AW20, LAMBDA(r, LET( player, INDEX(r, 1), drops, CHOOSECOLS(r, SEQUENCE(1, 35, 12)), IF(player="""", """", TEXTJOIN(CHAR(10), TRUE, MAP(drops, LAMBDA(drop, IF(drop="""", """", IF(ISNUMBER(SEARCH(C13, "&amp;""""" &amp; drop)), player &amp; "" - "" &amp; TRIM(REGEXREPLACE("""" &amp; drop, ""(?i)^"" &amp; C13 &amp; ""\s*[-–:]*\s*"", """")), """" ) ) )) ) ) ) )) )"),"em19em19 - Enhanced Crystal Teleport Seed
Papi Aksta - Blood Shard
Papi Aksta - Enhanced Crystal Teleport Seed")</f>
        <v>em19em19 - Enhanced Crystal Teleport Seed
Papi Aksta - Blood Shard
Papi Aksta - Enhanced Crystal Teleport Seed</v>
      </c>
      <c r="D14" s="115" t="str">
        <f>IFERROR(__xludf.DUMMYFUNCTION("TEXTJOIN(CHAR(10), TRUE, BYROW('Individual Stats'!$A3:$AW20, LAMBDA(r, LET( player, INDEX(r, 1), drops, CHOOSECOLS(r, SEQUENCE(1, 35, 12)), IF(player="""", """", TEXTJOIN(CHAR(10), TRUE, MAP(drops, LAMBDA(drop, IF(drop="""", """", IF(ISNUMBER(SEARCH(D13, "&amp;""""" &amp; drop)), player &amp; "" - "" &amp; TRIM(REGEXREPLACE("""" &amp; drop, ""(?i)^"" &amp; D13 &amp; ""\s*[-–:]*\s*"", """")), """" ) ) )) ) ) ) )) )"),"Foresto - Verac's Piece (any)
Pavlovs dog - Ahrim's Piece (any)
Pavlovs dog - Dharok's Piece (any)
Pavlovs dog - Verac's Piece (any)
Pavlovs dog - Dharok's Piece (any)
Pavlovs dog - Torag's Piece (any)
Pavlovs dog - Karil's Piece (any)
Pavlovs dog - Karil"&amp;"'s Piece (any)
Pavlovs dog - Verac's Piece (any)
Pavlovs dog - Torag's Piece (any)
UK HMRC - Dharok's Piece (any)
UK HMRC - Karil's Piece (any)")</f>
        <v>Foresto - Verac's Piece (any)
Pavlovs dog - Ahrim's Piece (any)
Pavlovs dog - Dharok's Piece (any)
Pavlovs dog - Verac's Piece (any)
Pavlovs dog - Dharok's Piece (any)
Pavlovs dog - Torag's Piece (any)
Pavlovs dog - Karil's Piece (any)
Pavlovs dog - Karil's Piece (any)
Pavlovs dog - Verac's Piece (any)
Pavlovs dog - Torag's Piece (any)
UK HMRC - Dharok's Piece (any)
UK HMRC - Karil's Piece (any)</v>
      </c>
      <c r="E14" s="115" t="str">
        <f>IFERROR(__xludf.DUMMYFUNCTION("TEXTJOIN(CHAR(10), TRUE, BYROW('Individual Stats'!$A3:$AW20, LAMBDA(r, LET( player, INDEX(r, 1), drops, CHOOSECOLS(r, SEQUENCE(1, 35, 12)), IF(player="""", """", TEXTJOIN(CHAR(10), TRUE, MAP(drops, LAMBDA(drop, IF(drop="""", """", IF(ISNUMBER(SEARCH(E13, "&amp;""""" &amp; drop)), player &amp; "" - "" &amp; TRIM(REGEXREPLACE("""" &amp; drop, ""(?i)^"" &amp; E13 &amp; ""\s*[-–:]*\s*"", """")), """" ) ) )) ) ) ) )) )"),"Bear clogs - Blood Quartz
Bear clogs - Virtus Piece (any)
Bear clogs - Ultor Vestige (+ 2x gold ring)
IronDresser - Blood Quartz
JaysunMimosa - Chromium Ingot
Pavlovs dog - Virtus Piece (any)")</f>
        <v>Bear clogs - Blood Quartz
Bear clogs - Virtus Piece (any)
Bear clogs - Ultor Vestige (+ 2x gold ring)
IronDresser - Blood Quartz
JaysunMimosa - Chromium Ingot
Pavlovs dog - Virtus Piece (any)</v>
      </c>
      <c r="F14" s="115" t="str">
        <f>IFERROR(__xludf.DUMMYFUNCTION("TEXTJOIN(CHAR(10), TRUE, BYROW('Individual Stats'!$A3:$AW20, LAMBDA(r, LET( player, INDEX(r, 1), drops, CHOOSECOLS(r, SEQUENCE(1, 35, 12)), IF(player="""", """", TEXTJOIN(CHAR(10), TRUE, MAP(drops, LAMBDA(drop, IF(drop="""", """", IF(ISNUMBER(SEARCH(F13, "&amp;""""" &amp; drop)), player &amp; "" - "" &amp; TRIM(REGEXREPLACE("""" &amp; drop, ""(?i)^"" &amp; F13 &amp; ""\s*[-–:]*\s*"", """")), """" ) ) )) ) ) ) )) )"),"Bear clogs - Ring (any)
Bear clogs - Dragon 2h Sword
Bear clogs - Pet
IMfinish - Pet
IMfinish - Fangs of Venenatis
IMfinish - Dragon 2h Sword
IMfinish - Dragon Pickaxe
IMfinish - Dragon Pickaxe
MiaTheDuck3 - Dragon Pickaxe")</f>
        <v>Bear clogs - Ring (any)
Bear clogs - Dragon 2h Sword
Bear clogs - Pet
IMfinish - Pet
IMfinish - Fangs of Venenatis
IMfinish - Dragon 2h Sword
IMfinish - Dragon Pickaxe
IMfinish - Dragon Pickaxe
MiaTheDuck3 - Dragon Pickaxe</v>
      </c>
      <c r="G14" s="115" t="str">
        <f>IFERROR(__xludf.DUMMYFUNCTION("TEXTJOIN(CHAR(10), TRUE, BYROW('Individual Stats'!$A3:$AW20, LAMBDA(r, LET( player, INDEX(r, 1), drops, CHOOSECOLS(r, SEQUENCE(1, 35, 12)), IF(player="""", """", TEXTJOIN(CHAR(10), TRUE, MAP(drops, LAMBDA(drop, IF(drop="""", """", IF(ISNUMBER(SEARCH(G13, "&amp;""""" &amp; drop)), player &amp; "" - "" &amp; TRIM(REGEXREPLACE("""" &amp; drop, ""(?i)^"" &amp; G13 &amp; ""\s*[-–:]*\s*"", """")), """" ) ) )) ) ) ) )) )"),"Rs Kill King - Seercull
Rs Kill King - Rings (other)
Suntj - Rings (other)
Suntj - Seercull
Suntj - Rings (other)
Suntj - Rings (other)
Suntj - Dragon axe
Suntj - Berserker Ring
Y e l l a a - Rings (other)
Y e l l a a - Dragon axe")</f>
        <v>Rs Kill King - Seercull
Rs Kill King - Rings (other)
Suntj - Rings (other)
Suntj - Seercull
Suntj - Rings (other)
Suntj - Rings (other)
Suntj - Dragon axe
Suntj - Berserker Ring
Y e l l a a - Rings (other)
Y e l l a a - Dragon axe</v>
      </c>
      <c r="H14" s="115" t="str">
        <f>IFERROR(__xludf.DUMMYFUNCTION("TEXTJOIN(CHAR(10), TRUE, BYROW('Individual Stats'!$A3:$AW20, LAMBDA(r, LET( player, INDEX(r, 1), drops, CHOOSECOLS(r, SEQUENCE(1, 35, 12)), IF(player="""", """", TEXTJOIN(CHAR(10), TRUE, MAP(drops, LAMBDA(drop, IF(drop="""", """", IF(ISNUMBER(SEARCH(H13, "&amp;""""" &amp; drop)), player &amp; "" - "" &amp; TRIM(REGEXREPLACE("""" &amp; drop, ""(?i)^"" &amp; H13 &amp; ""\s*[-–:]*\s*"", """")), """" ) ) )) ) ) ) )) )"),"FearBanana - Blue Moon Piece (any)
FearBanana - Eclipse Moon Piece (any)
Gas Stone86 - Blue Moon Piece (any)
MiaTheDuck3 - Blue Moon Piece (any)
Smokey Dro - Eclipse Moon Piece (any)
UK HMRC - Blue Moon Piece (any)
vainqueurs - Blood Moon Piece (any)
vain"&amp;"queurs - Blood Moon Piece (any)")</f>
        <v>FearBanana - Blue Moon Piece (any)
FearBanana - Eclipse Moon Piece (any)
Gas Stone86 - Blue Moon Piece (any)
MiaTheDuck3 - Blue Moon Piece (any)
Smokey Dro - Eclipse Moon Piece (any)
UK HMRC - Blue Moon Piece (any)
vainqueurs - Blood Moon Piece (any)
vainqueurs - Blood Moon Piece (any)</v>
      </c>
      <c r="I14" s="112"/>
      <c r="J14" s="113"/>
    </row>
    <row r="15" ht="18.75" customHeight="1">
      <c r="A15" s="102"/>
      <c r="B15" s="114"/>
      <c r="C15" s="122"/>
      <c r="D15" s="122"/>
      <c r="E15" s="122"/>
      <c r="F15" s="123"/>
      <c r="G15" s="122"/>
      <c r="H15" s="122"/>
      <c r="I15" s="112"/>
      <c r="J15" s="113"/>
    </row>
    <row r="16" ht="18.75" customHeight="1">
      <c r="A16" s="102"/>
      <c r="B16" s="114"/>
      <c r="C16" s="124"/>
      <c r="D16" s="124"/>
      <c r="E16" s="124"/>
      <c r="F16" s="124"/>
      <c r="G16" s="124"/>
      <c r="H16" s="124"/>
      <c r="I16" s="112"/>
      <c r="J16" s="113"/>
    </row>
    <row r="17" ht="18.75" customHeight="1">
      <c r="A17" s="102"/>
      <c r="B17" s="125"/>
      <c r="C17" s="116" t="s">
        <v>38</v>
      </c>
      <c r="D17" s="116" t="s">
        <v>39</v>
      </c>
      <c r="E17" s="116" t="s">
        <v>40</v>
      </c>
      <c r="F17" s="116" t="s">
        <v>41</v>
      </c>
      <c r="G17" s="116" t="s">
        <v>42</v>
      </c>
      <c r="H17" s="116" t="s">
        <v>43</v>
      </c>
      <c r="I17" s="125"/>
      <c r="J17" s="113"/>
    </row>
    <row r="18" ht="150.0" customHeight="1">
      <c r="A18" s="102"/>
      <c r="B18" s="126"/>
      <c r="C18" s="115" t="str">
        <f>IFERROR(__xludf.DUMMYFUNCTION("TEXTJOIN(CHAR(10), TRUE, BYROW('Individual Stats'!$A3:$AW20, LAMBDA(r, LET( player, INDEX(r, 1), drops, CHOOSECOLS(r, SEQUENCE(1, 35, 12)), IF(player="""", """", TEXTJOIN(CHAR(10), TRUE, MAP(drops, LAMBDA(drop, IF(drop="""", """", IF(ISNUMBER(SEARCH(C17, "&amp;""""" &amp; drop)), player &amp; "" - "" &amp; TRIM(REGEXREPLACE("""" &amp; drop, ""(?i)^"" &amp; C17 &amp; ""\s*[-–:]*\s*"", """")), """" ) ) )) ) ) ) )) )"),"")</f>
        <v/>
      </c>
      <c r="D18" s="115" t="str">
        <f>IFERROR(__xludf.DUMMYFUNCTION("TEXTJOIN(CHAR(10), TRUE, BYROW('Individual Stats'!$A3:$AW20, LAMBDA(r, LET( player, INDEX(r, 1), drops, CHOOSECOLS(r, SEQUENCE(1, 35, 12)), IF(player="""", """", TEXTJOIN(CHAR(10), TRUE, MAP(drops, LAMBDA(drop, IF(drop="""", """", IF(ISNUMBER(SEARCH(D17, "&amp;""""" &amp; drop)), player &amp; "" - "" &amp; TRIM(REGEXREPLACE("""" &amp; drop, ""(?i)^"" &amp; D17 &amp; ""\s*[-–:]*\s*"", """")), """" ) ) )) ) ) ) )) )"),"")</f>
        <v/>
      </c>
      <c r="E18" s="115" t="str">
        <f>IFERROR(__xludf.DUMMYFUNCTION("TEXTJOIN(CHAR(10), TRUE, BYROW('Individual Stats'!$A3:$AW20, LAMBDA(r, LET( player, INDEX(r, 1), drops, CHOOSECOLS(r, SEQUENCE(1, 35, 12)), IF(player="""", """", TEXTJOIN(CHAR(10), TRUE, MAP(drops, LAMBDA(drop, IF(drop="""", """", IF(ISNUMBER(SEARCH(E17, "&amp;""""" &amp; drop)), player &amp; "" - "" &amp; TRIM(REGEXREPLACE("""" &amp; drop, ""(?i)^"" &amp; E17 &amp; ""\s*[-–:]*\s*"", """")), """" ) ) )) ) ) ) )) )"),"")</f>
        <v/>
      </c>
      <c r="F18" s="115" t="str">
        <f>IFERROR(__xludf.DUMMYFUNCTION("TEXTJOIN(CHAR(10), TRUE, BYROW('Individual Stats'!$A3:$AW20, LAMBDA(r, LET( player, INDEX(r, 1), drops, CHOOSECOLS(r, SEQUENCE(1, 35, 12)), IF(player="""", """", TEXTJOIN(CHAR(10), TRUE, MAP(drops, LAMBDA(drop, IF(drop="""", """", IF(ISNUMBER(SEARCH(F17, "&amp;""""" &amp; drop)), player &amp; "" - "" &amp; TRIM(REGEXREPLACE("""" &amp; drop, ""(?i)^"" &amp; F17 &amp; ""\s*[-–:]*\s*"", """")), """" ) ) )) ) ) ) )) )"),"Bear clogs - Pet
Frangud - Jar
HareForceOne - Jar
IMfinish - Pet
Iron bm king - Pet
IronDresser - Jar
Lowbob PVM - Jar
Suntj - Pet
Y e l l a a - Pet")</f>
        <v>Bear clogs - Pet
Frangud - Jar
HareForceOne - Jar
IMfinish - Pet
Iron bm king - Pet
IronDresser - Jar
Lowbob PVM - Jar
Suntj - Pet
Y e l l a a - Pet</v>
      </c>
      <c r="G18" s="115" t="str">
        <f>IFERROR(__xludf.DUMMYFUNCTION("TEXTJOIN(CHAR(10), TRUE, BYROW('Individual Stats'!$A3:$AW20, LAMBDA(r, LET( player, INDEX(r, 1), drops, CHOOSECOLS(r, SEQUENCE(1, 35, 12)), IF(player="""", """", TEXTJOIN(CHAR(10), TRUE, MAP(drops, LAMBDA(drop, IF(drop="""", """", IF(ISNUMBER(SEARCH(G17, "&amp;""""" &amp; drop)), player &amp; "" - "" &amp; TRIM(REGEXREPLACE("""" &amp; drop, ""(?i)^"" &amp; G17 &amp; ""\s*[-–:]*\s*"", """")), """" ) ) )) ) ) ) )) )"),"Rs Kill King - Fortis Colosseum - Sunfire fanatic chausses
Rs Kill King - Fortis Colosseum - Echo crystal(s) (1-3)")</f>
        <v>Rs Kill King - Fortis Colosseum - Sunfire fanatic chausses
Rs Kill King - Fortis Colosseum - Echo crystal(s) (1-3)</v>
      </c>
      <c r="H18" s="115" t="str">
        <f>IFERROR(__xludf.DUMMYFUNCTION("TEXTJOIN(CHAR(10), TRUE, BYROW('Individual Stats'!$A3:$AW20, LAMBDA(r, LET( player, INDEX(r, 1), drops, CHOOSECOLS(r, SEQUENCE(1, 35, 12)), IF(player="""", """", TEXTJOIN(CHAR(10), TRUE, MAP(drops, LAMBDA(drop, IF(drop="""", """", IF(ISNUMBER(SEARCH(H17, "&amp;""""" &amp; drop)), player &amp; "" - "" &amp; TRIM(REGEXREPLACE("""" &amp; drop, ""(?i)^"" &amp; H17 &amp; ""\s*[-–:]*\s*"", """")), """" ) ) )) ) ) ) )) )"),"")</f>
        <v/>
      </c>
      <c r="I18" s="125"/>
      <c r="J18" s="113"/>
    </row>
    <row r="19" ht="18.75" customHeight="1">
      <c r="A19" s="102"/>
      <c r="B19" s="127"/>
      <c r="C19" s="108"/>
      <c r="D19" s="108"/>
      <c r="E19" s="108"/>
      <c r="F19" s="128"/>
      <c r="G19" s="108"/>
      <c r="H19" s="108"/>
      <c r="I19" s="129"/>
      <c r="J19" s="113"/>
    </row>
    <row r="20" ht="18.75" customHeight="1">
      <c r="A20" s="102"/>
      <c r="B20" s="110"/>
      <c r="C20" s="130"/>
      <c r="D20" s="130"/>
      <c r="E20" s="130"/>
      <c r="F20" s="130"/>
      <c r="G20" s="130"/>
      <c r="H20" s="130"/>
      <c r="I20" s="130"/>
      <c r="J20" s="1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11" width="9.5"/>
    <col customWidth="1" min="12" max="14" width="12.63"/>
    <col customWidth="1" min="21" max="35" width="12.63"/>
    <col customWidth="1" min="40" max="49" width="12.63"/>
  </cols>
  <sheetData>
    <row r="1">
      <c r="A1" s="131"/>
      <c r="B1" s="132" t="s">
        <v>44</v>
      </c>
      <c r="L1" s="133"/>
      <c r="N1" s="133"/>
      <c r="O1" s="132" t="s">
        <v>45</v>
      </c>
      <c r="AN1" s="132"/>
      <c r="AO1" s="132"/>
      <c r="AP1" s="132"/>
      <c r="AQ1" s="132"/>
      <c r="AR1" s="132"/>
      <c r="AS1" s="132"/>
      <c r="AT1" s="132"/>
      <c r="AU1" s="132"/>
      <c r="AV1" s="132"/>
      <c r="AW1" s="132"/>
    </row>
    <row r="2" ht="22.5" customHeight="1">
      <c r="A2" s="134" t="s">
        <v>46</v>
      </c>
      <c r="B2" s="135" t="s">
        <v>47</v>
      </c>
      <c r="C2" s="135" t="s">
        <v>48</v>
      </c>
      <c r="D2" s="135" t="s">
        <v>49</v>
      </c>
      <c r="E2" s="135" t="s">
        <v>50</v>
      </c>
      <c r="F2" s="136" t="s">
        <v>9</v>
      </c>
      <c r="G2" s="136" t="s">
        <v>51</v>
      </c>
      <c r="H2" s="136" t="s">
        <v>52</v>
      </c>
      <c r="I2" s="136" t="s">
        <v>53</v>
      </c>
      <c r="J2" s="136" t="s">
        <v>54</v>
      </c>
      <c r="K2" s="136" t="s">
        <v>55</v>
      </c>
      <c r="L2" s="136" t="s">
        <v>56</v>
      </c>
      <c r="M2" s="136" t="s">
        <v>57</v>
      </c>
      <c r="N2" s="137" t="s">
        <v>58</v>
      </c>
      <c r="O2" s="135" t="s">
        <v>59</v>
      </c>
      <c r="P2" s="135" t="s">
        <v>60</v>
      </c>
      <c r="Q2" s="135" t="s">
        <v>61</v>
      </c>
      <c r="R2" s="135" t="s">
        <v>62</v>
      </c>
      <c r="S2" s="135" t="s">
        <v>63</v>
      </c>
      <c r="T2" s="135" t="s">
        <v>64</v>
      </c>
      <c r="U2" s="135" t="s">
        <v>65</v>
      </c>
      <c r="V2" s="135" t="s">
        <v>66</v>
      </c>
      <c r="W2" s="135" t="s">
        <v>67</v>
      </c>
      <c r="X2" s="135" t="s">
        <v>68</v>
      </c>
      <c r="Y2" s="135" t="s">
        <v>69</v>
      </c>
      <c r="Z2" s="135" t="s">
        <v>70</v>
      </c>
      <c r="AA2" s="135" t="s">
        <v>71</v>
      </c>
      <c r="AB2" s="135" t="s">
        <v>72</v>
      </c>
      <c r="AC2" s="135" t="s">
        <v>73</v>
      </c>
      <c r="AD2" s="135" t="s">
        <v>74</v>
      </c>
      <c r="AE2" s="135" t="s">
        <v>75</v>
      </c>
      <c r="AF2" s="135" t="s">
        <v>76</v>
      </c>
      <c r="AG2" s="135" t="s">
        <v>77</v>
      </c>
      <c r="AH2" s="135" t="s">
        <v>78</v>
      </c>
      <c r="AI2" s="135" t="s">
        <v>79</v>
      </c>
      <c r="AJ2" s="135" t="s">
        <v>80</v>
      </c>
      <c r="AK2" s="135" t="s">
        <v>81</v>
      </c>
      <c r="AL2" s="135" t="s">
        <v>82</v>
      </c>
      <c r="AM2" s="135" t="s">
        <v>83</v>
      </c>
      <c r="AN2" s="135" t="s">
        <v>84</v>
      </c>
      <c r="AO2" s="135" t="s">
        <v>85</v>
      </c>
      <c r="AP2" s="135" t="s">
        <v>86</v>
      </c>
      <c r="AQ2" s="135" t="s">
        <v>87</v>
      </c>
      <c r="AR2" s="135" t="s">
        <v>88</v>
      </c>
      <c r="AS2" s="135" t="s">
        <v>89</v>
      </c>
      <c r="AT2" s="135" t="s">
        <v>90</v>
      </c>
      <c r="AU2" s="135" t="s">
        <v>91</v>
      </c>
      <c r="AV2" s="135" t="s">
        <v>92</v>
      </c>
      <c r="AW2" s="135" t="s">
        <v>93</v>
      </c>
    </row>
    <row r="3" ht="22.5" customHeight="1">
      <c r="A3" s="138" t="s">
        <v>94</v>
      </c>
      <c r="B3" s="139"/>
      <c r="C3" s="139"/>
      <c r="D3" s="139"/>
      <c r="E3" s="139"/>
      <c r="F3" s="139"/>
      <c r="G3" s="139"/>
      <c r="H3" s="139"/>
      <c r="I3" s="139"/>
      <c r="J3" s="140"/>
      <c r="K3" s="140"/>
      <c r="L3" s="141">
        <f t="array" ref="L3">SUM(IF( 'Individual Stats'!O3:AW3="", 0, IFERROR( VLOOKUP( 'Individual Stats'!O3:AW3, 'Accepted Drops'!$B$84:$R$328, 17, FALSE ), 0 ) ))</f>
        <v>10</v>
      </c>
      <c r="M3" s="142">
        <f t="shared" ref="M3:M36" si="1">COUNTA(O3:AM3)</f>
        <v>1</v>
      </c>
      <c r="N3" s="143">
        <f t="array" ref="N3">SUM(IFERROR(VLOOKUP('Tradeable Drops'!B3:AF3, {'Accepted Drops'!$AG$83:$AG$330,'Accepted Drops'!$AC$83:$AC$330}, 2, 0),0))</f>
        <v>123112552</v>
      </c>
      <c r="O3" s="139" t="s">
        <v>95</v>
      </c>
      <c r="P3" s="139"/>
      <c r="Q3" s="139"/>
      <c r="R3" s="139"/>
      <c r="S3" s="139"/>
      <c r="T3" s="144"/>
      <c r="U3" s="144"/>
      <c r="V3" s="144"/>
      <c r="W3" s="144"/>
      <c r="X3" s="144"/>
      <c r="Y3" s="139"/>
      <c r="Z3" s="144"/>
      <c r="AA3" s="145"/>
      <c r="AB3" s="145"/>
      <c r="AC3" s="145"/>
      <c r="AD3" s="145"/>
      <c r="AE3" s="145"/>
      <c r="AF3" s="145"/>
      <c r="AG3" s="145"/>
      <c r="AH3" s="145"/>
      <c r="AI3" s="145"/>
      <c r="AJ3" s="146"/>
      <c r="AK3" s="146"/>
      <c r="AL3" s="146"/>
      <c r="AM3" s="146"/>
      <c r="AN3" s="146"/>
      <c r="AO3" s="146"/>
      <c r="AP3" s="146"/>
      <c r="AQ3" s="146"/>
      <c r="AR3" s="146"/>
      <c r="AS3" s="146"/>
      <c r="AT3" s="146"/>
      <c r="AU3" s="146"/>
      <c r="AV3" s="146"/>
      <c r="AW3" s="146"/>
    </row>
    <row r="4" ht="22.5" customHeight="1">
      <c r="A4" s="138" t="s">
        <v>96</v>
      </c>
      <c r="B4" s="139"/>
      <c r="C4" s="139"/>
      <c r="D4" s="139"/>
      <c r="E4" s="139"/>
      <c r="F4" s="139"/>
      <c r="G4" s="139"/>
      <c r="H4" s="139"/>
      <c r="I4" s="139"/>
      <c r="J4" s="140"/>
      <c r="K4" s="140"/>
      <c r="L4" s="141">
        <f t="array" ref="L4">SUM(IF( 'Individual Stats'!O4:AW4="", 0, IFERROR( VLOOKUP( 'Individual Stats'!O4:AW4, 'Accepted Drops'!$B$84:$R$328, 17, FALSE ), 0 ) ))</f>
        <v>27.22222222</v>
      </c>
      <c r="M4" s="142">
        <f t="shared" si="1"/>
        <v>9</v>
      </c>
      <c r="N4" s="147">
        <f t="array" ref="N4">SUM(IFERROR(VLOOKUP('Tradeable Drops'!B4:AF4, {'Accepted Drops'!$AG$83:$AG$330,'Accepted Drops'!$AC$83:$AC$330}, 2, 0),0))</f>
        <v>119318274</v>
      </c>
      <c r="O4" s="139" t="s">
        <v>97</v>
      </c>
      <c r="P4" s="139" t="s">
        <v>98</v>
      </c>
      <c r="Q4" s="139" t="s">
        <v>99</v>
      </c>
      <c r="R4" s="139" t="s">
        <v>100</v>
      </c>
      <c r="S4" s="139" t="s">
        <v>101</v>
      </c>
      <c r="T4" s="144" t="s">
        <v>102</v>
      </c>
      <c r="U4" s="144" t="s">
        <v>103</v>
      </c>
      <c r="V4" s="144" t="s">
        <v>104</v>
      </c>
      <c r="W4" s="144" t="s">
        <v>104</v>
      </c>
      <c r="X4" s="144"/>
      <c r="Y4" s="139"/>
      <c r="Z4" s="144"/>
      <c r="AA4" s="144"/>
      <c r="AB4" s="144"/>
      <c r="AC4" s="145"/>
      <c r="AD4" s="145"/>
      <c r="AE4" s="145"/>
      <c r="AF4" s="145"/>
      <c r="AG4" s="145"/>
      <c r="AH4" s="145"/>
      <c r="AI4" s="145"/>
      <c r="AJ4" s="146"/>
      <c r="AK4" s="146"/>
      <c r="AL4" s="146"/>
      <c r="AM4" s="146"/>
      <c r="AN4" s="146"/>
      <c r="AO4" s="146"/>
      <c r="AP4" s="146"/>
      <c r="AQ4" s="146"/>
      <c r="AR4" s="146"/>
      <c r="AS4" s="146"/>
      <c r="AT4" s="146"/>
      <c r="AU4" s="146"/>
      <c r="AV4" s="146"/>
      <c r="AW4" s="146"/>
    </row>
    <row r="5" ht="22.5" customHeight="1">
      <c r="A5" s="138" t="s">
        <v>105</v>
      </c>
      <c r="B5" s="139" t="s">
        <v>106</v>
      </c>
      <c r="C5" s="139" t="s">
        <v>106</v>
      </c>
      <c r="D5" s="139" t="s">
        <v>106</v>
      </c>
      <c r="E5" s="139" t="s">
        <v>106</v>
      </c>
      <c r="F5" s="139"/>
      <c r="G5" s="139"/>
      <c r="H5" s="139"/>
      <c r="I5" s="139" t="s">
        <v>106</v>
      </c>
      <c r="J5" s="140"/>
      <c r="K5" s="140"/>
      <c r="L5" s="141">
        <f t="array" ref="L5">SUM(IF( 'Individual Stats'!O5:AW5="", 0, IFERROR( VLOOKUP( 'Individual Stats'!O5:AW5, 'Accepted Drops'!$B$84:$R$328, 17, FALSE ), 0 ) ))</f>
        <v>6.333333333</v>
      </c>
      <c r="M5" s="142">
        <f t="shared" si="1"/>
        <v>3</v>
      </c>
      <c r="N5" s="147">
        <f t="array" ref="N5">SUM(IFERROR(VLOOKUP('Tradeable Drops'!B5:AF5, {'Accepted Drops'!$AG$83:$AG$330,'Accepted Drops'!$AC$83:$AC$330}, 2, 0),0))</f>
        <v>3575510</v>
      </c>
      <c r="O5" s="139" t="s">
        <v>107</v>
      </c>
      <c r="P5" s="139" t="s">
        <v>108</v>
      </c>
      <c r="Q5" s="139" t="s">
        <v>109</v>
      </c>
      <c r="R5" s="148"/>
      <c r="S5" s="148"/>
      <c r="T5" s="145"/>
      <c r="U5" s="145"/>
      <c r="V5" s="145"/>
      <c r="W5" s="145"/>
      <c r="X5" s="145"/>
      <c r="Y5" s="148"/>
      <c r="Z5" s="145"/>
      <c r="AA5" s="145"/>
      <c r="AB5" s="145"/>
      <c r="AC5" s="145"/>
      <c r="AD5" s="145"/>
      <c r="AE5" s="145"/>
      <c r="AF5" s="145"/>
      <c r="AG5" s="145"/>
      <c r="AH5" s="145"/>
      <c r="AI5" s="145"/>
      <c r="AJ5" s="146"/>
      <c r="AK5" s="146"/>
      <c r="AL5" s="146"/>
      <c r="AM5" s="146"/>
      <c r="AN5" s="146"/>
      <c r="AO5" s="146"/>
      <c r="AP5" s="146"/>
      <c r="AQ5" s="146"/>
      <c r="AR5" s="146"/>
      <c r="AS5" s="146"/>
      <c r="AT5" s="146"/>
      <c r="AU5" s="146"/>
      <c r="AV5" s="146"/>
      <c r="AW5" s="146"/>
    </row>
    <row r="6" ht="22.5" customHeight="1">
      <c r="A6" s="138" t="s">
        <v>110</v>
      </c>
      <c r="B6" s="139"/>
      <c r="C6" s="139"/>
      <c r="D6" s="139" t="s">
        <v>106</v>
      </c>
      <c r="E6" s="139"/>
      <c r="F6" s="139"/>
      <c r="G6" s="139"/>
      <c r="H6" s="139"/>
      <c r="I6" s="139"/>
      <c r="J6" s="140"/>
      <c r="K6" s="140"/>
      <c r="L6" s="141">
        <f t="array" ref="L6">SUM(IF( 'Individual Stats'!O6:AW6="", 0, IFERROR( VLOOKUP( 'Individual Stats'!O6:AW6, 'Accepted Drops'!$B$84:$R$328, 17, FALSE ), 0 ) ))</f>
        <v>0</v>
      </c>
      <c r="M6" s="142">
        <f t="shared" si="1"/>
        <v>0</v>
      </c>
      <c r="N6" s="147">
        <f t="array" ref="N6">SUM(IFERROR(VLOOKUP('Tradeable Drops'!B6:AF6, {'Accepted Drops'!$AG$83:$AG$330,'Accepted Drops'!$AC$83:$AC$330}, 2, 0),0))</f>
        <v>0</v>
      </c>
      <c r="O6" s="139"/>
      <c r="P6" s="139"/>
      <c r="Q6" s="139"/>
      <c r="R6" s="139"/>
      <c r="S6" s="139"/>
      <c r="T6" s="144"/>
      <c r="U6" s="145"/>
      <c r="V6" s="145"/>
      <c r="W6" s="145"/>
      <c r="X6" s="145"/>
      <c r="Y6" s="148"/>
      <c r="Z6" s="145"/>
      <c r="AA6" s="145"/>
      <c r="AB6" s="145"/>
      <c r="AC6" s="145"/>
      <c r="AD6" s="145"/>
      <c r="AE6" s="145"/>
      <c r="AF6" s="145"/>
      <c r="AG6" s="145"/>
      <c r="AH6" s="145"/>
      <c r="AI6" s="145"/>
      <c r="AJ6" s="146"/>
      <c r="AK6" s="146"/>
      <c r="AL6" s="146"/>
      <c r="AM6" s="146"/>
      <c r="AN6" s="146"/>
      <c r="AO6" s="146"/>
      <c r="AP6" s="146"/>
      <c r="AQ6" s="146"/>
      <c r="AR6" s="146"/>
      <c r="AS6" s="146"/>
      <c r="AT6" s="146"/>
      <c r="AU6" s="146"/>
      <c r="AV6" s="146"/>
      <c r="AW6" s="146"/>
    </row>
    <row r="7" ht="22.5" customHeight="1">
      <c r="A7" s="138" t="s">
        <v>111</v>
      </c>
      <c r="B7" s="139"/>
      <c r="C7" s="139"/>
      <c r="D7" s="139"/>
      <c r="E7" s="139" t="s">
        <v>106</v>
      </c>
      <c r="F7" s="139"/>
      <c r="G7" s="139"/>
      <c r="H7" s="139"/>
      <c r="I7" s="139"/>
      <c r="J7" s="140"/>
      <c r="K7" s="140"/>
      <c r="L7" s="141">
        <f t="array" ref="L7">SUM(IF( 'Individual Stats'!O7:AW7="", 0, IFERROR( VLOOKUP( 'Individual Stats'!O7:AW7, 'Accepted Drops'!$B$84:$R$328, 17, FALSE ), 0 ) ))</f>
        <v>5.5</v>
      </c>
      <c r="M7" s="142">
        <f t="shared" si="1"/>
        <v>9</v>
      </c>
      <c r="N7" s="147">
        <f t="array" ref="N7">SUM(IFERROR(VLOOKUP('Tradeable Drops'!B7:AF7, {'Accepted Drops'!$AG$83:$AG$330,'Accepted Drops'!$AC$83:$AC$330}, 2, 0),0))</f>
        <v>7519184</v>
      </c>
      <c r="O7" s="139" t="s">
        <v>112</v>
      </c>
      <c r="P7" s="139" t="s">
        <v>113</v>
      </c>
      <c r="Q7" s="139" t="s">
        <v>114</v>
      </c>
      <c r="R7" s="139" t="s">
        <v>114</v>
      </c>
      <c r="S7" s="139" t="s">
        <v>114</v>
      </c>
      <c r="T7" s="144" t="s">
        <v>114</v>
      </c>
      <c r="U7" s="144" t="s">
        <v>113</v>
      </c>
      <c r="V7" s="144" t="s">
        <v>113</v>
      </c>
      <c r="W7" s="144" t="s">
        <v>113</v>
      </c>
      <c r="X7" s="144"/>
      <c r="Y7" s="139"/>
      <c r="Z7" s="144"/>
      <c r="AA7" s="145"/>
      <c r="AB7" s="145"/>
      <c r="AC7" s="145"/>
      <c r="AD7" s="145"/>
      <c r="AE7" s="145"/>
      <c r="AF7" s="145"/>
      <c r="AG7" s="145"/>
      <c r="AH7" s="145"/>
      <c r="AI7" s="145"/>
      <c r="AJ7" s="146"/>
      <c r="AK7" s="146"/>
      <c r="AL7" s="146"/>
      <c r="AM7" s="146"/>
      <c r="AN7" s="146"/>
      <c r="AO7" s="146"/>
      <c r="AP7" s="146"/>
      <c r="AQ7" s="146"/>
      <c r="AR7" s="146"/>
      <c r="AS7" s="146"/>
      <c r="AT7" s="146"/>
      <c r="AU7" s="146"/>
      <c r="AV7" s="146"/>
      <c r="AW7" s="146"/>
    </row>
    <row r="8" ht="22.5" customHeight="1">
      <c r="A8" s="138" t="s">
        <v>115</v>
      </c>
      <c r="B8" s="139" t="s">
        <v>106</v>
      </c>
      <c r="C8" s="139" t="s">
        <v>106</v>
      </c>
      <c r="D8" s="139" t="s">
        <v>106</v>
      </c>
      <c r="E8" s="139" t="s">
        <v>106</v>
      </c>
      <c r="F8" s="139"/>
      <c r="G8" s="139"/>
      <c r="H8" s="139"/>
      <c r="I8" s="139" t="s">
        <v>106</v>
      </c>
      <c r="J8" s="149" t="s">
        <v>106</v>
      </c>
      <c r="K8" s="149" t="s">
        <v>106</v>
      </c>
      <c r="L8" s="141">
        <f t="array" ref="L8">SUM(IF( 'Individual Stats'!O8:AW8="", 0, IFERROR( VLOOKUP( 'Individual Stats'!O8:AW8, 'Accepted Drops'!$B$84:$R$328, 17, FALSE ), 0 ) ))</f>
        <v>9.875</v>
      </c>
      <c r="M8" s="142">
        <f t="shared" si="1"/>
        <v>12</v>
      </c>
      <c r="N8" s="143">
        <f t="array" ref="N8">SUM(IFERROR(VLOOKUP('Tradeable Drops'!B8:AF8, {'Accepted Drops'!$AG$83:$AG$330,'Accepted Drops'!$AC$83:$AC$330}, 2, 0),0))</f>
        <v>13798992</v>
      </c>
      <c r="O8" s="139" t="s">
        <v>116</v>
      </c>
      <c r="P8" s="139" t="s">
        <v>117</v>
      </c>
      <c r="Q8" s="139" t="s">
        <v>118</v>
      </c>
      <c r="R8" s="139" t="s">
        <v>119</v>
      </c>
      <c r="S8" s="139" t="s">
        <v>120</v>
      </c>
      <c r="T8" s="144" t="s">
        <v>120</v>
      </c>
      <c r="U8" s="144" t="s">
        <v>120</v>
      </c>
      <c r="V8" s="144" t="s">
        <v>120</v>
      </c>
      <c r="W8" s="144" t="s">
        <v>120</v>
      </c>
      <c r="X8" s="144" t="s">
        <v>120</v>
      </c>
      <c r="Y8" s="139" t="s">
        <v>121</v>
      </c>
      <c r="Z8" s="144" t="s">
        <v>122</v>
      </c>
      <c r="AA8" s="144"/>
      <c r="AB8" s="144"/>
      <c r="AC8" s="144"/>
      <c r="AD8" s="144"/>
      <c r="AE8" s="145"/>
      <c r="AF8" s="145"/>
      <c r="AG8" s="145"/>
      <c r="AH8" s="145"/>
      <c r="AI8" s="145"/>
      <c r="AJ8" s="146"/>
      <c r="AK8" s="146"/>
      <c r="AL8" s="146"/>
      <c r="AM8" s="146"/>
      <c r="AN8" s="146"/>
      <c r="AO8" s="146"/>
      <c r="AP8" s="146"/>
      <c r="AQ8" s="146"/>
      <c r="AR8" s="146"/>
      <c r="AS8" s="146"/>
      <c r="AT8" s="146"/>
      <c r="AU8" s="146"/>
      <c r="AV8" s="146"/>
      <c r="AW8" s="146"/>
    </row>
    <row r="9" ht="22.5" customHeight="1">
      <c r="A9" s="138" t="s">
        <v>123</v>
      </c>
      <c r="B9" s="139"/>
      <c r="C9" s="139"/>
      <c r="D9" s="139" t="s">
        <v>106</v>
      </c>
      <c r="E9" s="139"/>
      <c r="F9" s="139"/>
      <c r="G9" s="139"/>
      <c r="H9" s="139"/>
      <c r="I9" s="139"/>
      <c r="J9" s="140"/>
      <c r="K9" s="140"/>
      <c r="L9" s="141">
        <f t="array" ref="L9">SUM(IF( 'Individual Stats'!O9:AW9="", 0, IFERROR( VLOOKUP( 'Individual Stats'!O9:AW9, 'Accepted Drops'!$B$84:$R$328, 17, FALSE ), 0 ) ))</f>
        <v>13.33333333</v>
      </c>
      <c r="M9" s="142">
        <f t="shared" si="1"/>
        <v>9</v>
      </c>
      <c r="N9" s="147">
        <f t="array" ref="N9">SUM(IFERROR(VLOOKUP('Tradeable Drops'!B9:AF9, {'Accepted Drops'!$AG$83:$AG$330,'Accepted Drops'!$AC$83:$AC$330}, 2, 0),0))</f>
        <v>78465370</v>
      </c>
      <c r="O9" s="139" t="s">
        <v>124</v>
      </c>
      <c r="P9" s="139" t="s">
        <v>125</v>
      </c>
      <c r="Q9" s="139" t="s">
        <v>126</v>
      </c>
      <c r="R9" s="139" t="s">
        <v>127</v>
      </c>
      <c r="S9" s="139" t="s">
        <v>128</v>
      </c>
      <c r="T9" s="144" t="s">
        <v>129</v>
      </c>
      <c r="U9" s="144" t="s">
        <v>130</v>
      </c>
      <c r="V9" s="144" t="s">
        <v>131</v>
      </c>
      <c r="W9" s="144" t="s">
        <v>131</v>
      </c>
      <c r="X9" s="144"/>
      <c r="Y9" s="139"/>
      <c r="Z9" s="144"/>
      <c r="AA9" s="144"/>
      <c r="AB9" s="144"/>
      <c r="AC9" s="144"/>
      <c r="AD9" s="144"/>
      <c r="AE9" s="144"/>
      <c r="AF9" s="144"/>
      <c r="AG9" s="144"/>
      <c r="AH9" s="144"/>
      <c r="AI9" s="144"/>
      <c r="AJ9" s="146"/>
      <c r="AK9" s="146"/>
      <c r="AL9" s="146"/>
      <c r="AM9" s="146"/>
      <c r="AN9" s="146"/>
      <c r="AO9" s="146"/>
      <c r="AP9" s="146"/>
      <c r="AQ9" s="146"/>
      <c r="AR9" s="146"/>
      <c r="AS9" s="146"/>
      <c r="AT9" s="146"/>
      <c r="AU9" s="146"/>
      <c r="AV9" s="146"/>
      <c r="AW9" s="146"/>
    </row>
    <row r="10" ht="22.5" customHeight="1">
      <c r="A10" s="138" t="s">
        <v>132</v>
      </c>
      <c r="B10" s="139"/>
      <c r="C10" s="139"/>
      <c r="D10" s="139" t="s">
        <v>106</v>
      </c>
      <c r="E10" s="139"/>
      <c r="F10" s="139" t="s">
        <v>106</v>
      </c>
      <c r="G10" s="139"/>
      <c r="H10" s="139"/>
      <c r="I10" s="139"/>
      <c r="J10" s="149" t="s">
        <v>106</v>
      </c>
      <c r="K10" s="140"/>
      <c r="L10" s="141">
        <f t="array" ref="L10">SUM(IF( 'Individual Stats'!O10:AW10="", 0, IFERROR( VLOOKUP( 'Individual Stats'!O10:AW10, 'Accepted Drops'!$B$84:$R$328, 17, FALSE ), 0 ) ))</f>
        <v>15.75</v>
      </c>
      <c r="M10" s="142">
        <f t="shared" si="1"/>
        <v>9</v>
      </c>
      <c r="N10" s="147">
        <f t="array" ref="N10">SUM(IFERROR(VLOOKUP('Tradeable Drops'!B10:AF10, {'Accepted Drops'!$AG$83:$AG$330,'Accepted Drops'!$AC$83:$AC$330}, 2, 0),0))</f>
        <v>15718678</v>
      </c>
      <c r="O10" s="139" t="s">
        <v>133</v>
      </c>
      <c r="P10" s="139" t="s">
        <v>122</v>
      </c>
      <c r="Q10" s="139" t="s">
        <v>134</v>
      </c>
      <c r="R10" s="139" t="s">
        <v>135</v>
      </c>
      <c r="S10" s="139" t="s">
        <v>136</v>
      </c>
      <c r="T10" s="144" t="s">
        <v>137</v>
      </c>
      <c r="U10" s="144" t="s">
        <v>137</v>
      </c>
      <c r="V10" s="144" t="s">
        <v>138</v>
      </c>
      <c r="W10" s="144" t="s">
        <v>139</v>
      </c>
      <c r="X10" s="145"/>
      <c r="Y10" s="148"/>
      <c r="Z10" s="145"/>
      <c r="AA10" s="145"/>
      <c r="AB10" s="145"/>
      <c r="AC10" s="145"/>
      <c r="AD10" s="145"/>
      <c r="AE10" s="145"/>
      <c r="AF10" s="145"/>
      <c r="AG10" s="145"/>
      <c r="AH10" s="145"/>
      <c r="AI10" s="145"/>
      <c r="AJ10" s="146"/>
      <c r="AK10" s="146"/>
      <c r="AL10" s="146"/>
      <c r="AM10" s="146"/>
      <c r="AN10" s="146"/>
      <c r="AO10" s="146"/>
      <c r="AP10" s="146"/>
      <c r="AQ10" s="146"/>
      <c r="AR10" s="146"/>
      <c r="AS10" s="146"/>
      <c r="AT10" s="146"/>
      <c r="AU10" s="146"/>
      <c r="AV10" s="146"/>
      <c r="AW10" s="146"/>
    </row>
    <row r="11" ht="22.5" customHeight="1">
      <c r="A11" s="138" t="s">
        <v>140</v>
      </c>
      <c r="B11" s="139"/>
      <c r="C11" s="139"/>
      <c r="D11" s="139"/>
      <c r="E11" s="139"/>
      <c r="F11" s="139"/>
      <c r="G11" s="139"/>
      <c r="H11" s="139"/>
      <c r="I11" s="139"/>
      <c r="J11" s="140"/>
      <c r="K11" s="140"/>
      <c r="L11" s="141">
        <f t="array" ref="L11">SUM(IF( 'Individual Stats'!O11:AW11="", 0, IFERROR( VLOOKUP( 'Individual Stats'!O11:AW11, 'Accepted Drops'!$B$84:$R$328, 17, FALSE ), 0 ) ))</f>
        <v>1.625</v>
      </c>
      <c r="M11" s="142">
        <f t="shared" si="1"/>
        <v>3</v>
      </c>
      <c r="N11" s="143">
        <f t="array" ref="N11">SUM(IFERROR(VLOOKUP('Tradeable Drops'!B11:AF11, {'Accepted Drops'!$AG$83:$AG$330,'Accepted Drops'!$AC$83:$AC$330}, 2, 0),0))</f>
        <v>331008</v>
      </c>
      <c r="O11" s="150" t="s">
        <v>116</v>
      </c>
      <c r="P11" s="150" t="s">
        <v>128</v>
      </c>
      <c r="Q11" s="150" t="s">
        <v>128</v>
      </c>
      <c r="R11" s="150"/>
      <c r="S11" s="150"/>
      <c r="T11" s="150"/>
      <c r="U11" s="144"/>
      <c r="V11" s="144"/>
      <c r="W11" s="144"/>
      <c r="X11" s="144"/>
      <c r="Y11" s="139"/>
      <c r="Z11" s="144"/>
      <c r="AA11" s="145"/>
      <c r="AB11" s="145"/>
      <c r="AC11" s="145"/>
      <c r="AD11" s="145"/>
      <c r="AE11" s="145"/>
      <c r="AF11" s="145"/>
      <c r="AG11" s="145"/>
      <c r="AH11" s="145"/>
      <c r="AI11" s="145"/>
      <c r="AJ11" s="146"/>
      <c r="AK11" s="146"/>
      <c r="AL11" s="146"/>
      <c r="AM11" s="146"/>
      <c r="AN11" s="146"/>
      <c r="AO11" s="146"/>
      <c r="AP11" s="146"/>
      <c r="AQ11" s="146"/>
      <c r="AR11" s="146"/>
      <c r="AS11" s="146"/>
      <c r="AT11" s="146"/>
      <c r="AU11" s="146"/>
      <c r="AV11" s="146"/>
      <c r="AW11" s="146"/>
    </row>
    <row r="12" ht="22.5" customHeight="1">
      <c r="A12" s="138" t="s">
        <v>141</v>
      </c>
      <c r="B12" s="139" t="s">
        <v>106</v>
      </c>
      <c r="C12" s="139" t="s">
        <v>106</v>
      </c>
      <c r="D12" s="139" t="s">
        <v>106</v>
      </c>
      <c r="E12" s="139" t="s">
        <v>106</v>
      </c>
      <c r="F12" s="139"/>
      <c r="G12" s="139"/>
      <c r="H12" s="139"/>
      <c r="I12" s="139"/>
      <c r="J12" s="149" t="s">
        <v>106</v>
      </c>
      <c r="K12" s="140"/>
      <c r="L12" s="141">
        <f t="array" ref="L12">SUM(IF( 'Individual Stats'!O12:AW12="", 0, IFERROR( VLOOKUP( 'Individual Stats'!O12:AW12, 'Accepted Drops'!$B$84:$R$328, 17, FALSE ), 0 ) ))</f>
        <v>2</v>
      </c>
      <c r="M12" s="142">
        <f t="shared" si="1"/>
        <v>2</v>
      </c>
      <c r="N12" s="147">
        <f t="array" ref="N12">SUM(IFERROR(VLOOKUP('Tradeable Drops'!B12:AF12, {'Accepted Drops'!$AG$83:$AG$330,'Accepted Drops'!$AC$83:$AC$330}, 2, 0),0))</f>
        <v>801099</v>
      </c>
      <c r="O12" s="139" t="s">
        <v>142</v>
      </c>
      <c r="P12" s="139" t="s">
        <v>143</v>
      </c>
      <c r="Q12" s="139"/>
      <c r="R12" s="139"/>
      <c r="S12" s="139"/>
      <c r="T12" s="144"/>
      <c r="U12" s="144"/>
      <c r="V12" s="144"/>
      <c r="W12" s="144"/>
      <c r="X12" s="144"/>
      <c r="Y12" s="139"/>
      <c r="Z12" s="144"/>
      <c r="AA12" s="145"/>
      <c r="AB12" s="145"/>
      <c r="AC12" s="145"/>
      <c r="AD12" s="145"/>
      <c r="AE12" s="145"/>
      <c r="AF12" s="145"/>
      <c r="AG12" s="145"/>
      <c r="AH12" s="145"/>
      <c r="AI12" s="145"/>
      <c r="AJ12" s="146"/>
      <c r="AK12" s="146"/>
      <c r="AL12" s="146"/>
      <c r="AM12" s="146"/>
      <c r="AN12" s="146"/>
      <c r="AO12" s="146"/>
      <c r="AP12" s="146"/>
      <c r="AQ12" s="146"/>
      <c r="AR12" s="146"/>
      <c r="AS12" s="146"/>
      <c r="AT12" s="146"/>
      <c r="AU12" s="146"/>
      <c r="AV12" s="146"/>
      <c r="AW12" s="146"/>
    </row>
    <row r="13" ht="22.5" customHeight="1">
      <c r="A13" s="138" t="s">
        <v>144</v>
      </c>
      <c r="B13" s="139" t="s">
        <v>106</v>
      </c>
      <c r="C13" s="139" t="s">
        <v>106</v>
      </c>
      <c r="D13" s="139" t="s">
        <v>106</v>
      </c>
      <c r="E13" s="139" t="s">
        <v>106</v>
      </c>
      <c r="F13" s="139" t="s">
        <v>106</v>
      </c>
      <c r="G13" s="139"/>
      <c r="H13" s="139"/>
      <c r="I13" s="139" t="s">
        <v>106</v>
      </c>
      <c r="J13" s="149" t="s">
        <v>106</v>
      </c>
      <c r="K13" s="149" t="s">
        <v>106</v>
      </c>
      <c r="L13" s="141">
        <f t="array" ref="L13">SUM(IF( 'Individual Stats'!O13:AW13="", 0, IFERROR( VLOOKUP( 'Individual Stats'!O13:AW13, 'Accepted Drops'!$B$84:$R$328, 17, FALSE ), 0 ) ))</f>
        <v>31.79166667</v>
      </c>
      <c r="M13" s="142">
        <f t="shared" si="1"/>
        <v>11</v>
      </c>
      <c r="N13" s="147">
        <f t="array" ref="N13">SUM(IFERROR(VLOOKUP('Tradeable Drops'!B13:AF13, {'Accepted Drops'!$AG$83:$AG$330,'Accepted Drops'!$AC$83:$AC$330}, 2, 0),0))</f>
        <v>27501950</v>
      </c>
      <c r="O13" s="139" t="s">
        <v>121</v>
      </c>
      <c r="P13" s="139" t="s">
        <v>145</v>
      </c>
      <c r="Q13" s="139" t="s">
        <v>136</v>
      </c>
      <c r="R13" s="139" t="s">
        <v>136</v>
      </c>
      <c r="S13" s="139" t="s">
        <v>146</v>
      </c>
      <c r="T13" s="144" t="s">
        <v>138</v>
      </c>
      <c r="U13" s="144" t="s">
        <v>136</v>
      </c>
      <c r="V13" s="144" t="s">
        <v>147</v>
      </c>
      <c r="W13" s="144" t="s">
        <v>147</v>
      </c>
      <c r="X13" s="144" t="s">
        <v>139</v>
      </c>
      <c r="Y13" s="139" t="s">
        <v>148</v>
      </c>
      <c r="Z13" s="145"/>
      <c r="AA13" s="145"/>
      <c r="AB13" s="145"/>
      <c r="AC13" s="145"/>
      <c r="AD13" s="145"/>
      <c r="AE13" s="145"/>
      <c r="AF13" s="145"/>
      <c r="AG13" s="145"/>
      <c r="AH13" s="145"/>
      <c r="AI13" s="145"/>
      <c r="AJ13" s="146"/>
      <c r="AK13" s="146"/>
      <c r="AL13" s="146"/>
      <c r="AM13" s="146"/>
      <c r="AN13" s="146"/>
      <c r="AO13" s="146"/>
      <c r="AP13" s="146"/>
      <c r="AQ13" s="146"/>
      <c r="AR13" s="146"/>
      <c r="AS13" s="146"/>
      <c r="AT13" s="146"/>
      <c r="AU13" s="146"/>
      <c r="AV13" s="146"/>
      <c r="AW13" s="146"/>
    </row>
    <row r="14" ht="22.5" customHeight="1">
      <c r="A14" s="138" t="s">
        <v>149</v>
      </c>
      <c r="B14" s="139"/>
      <c r="C14" s="139"/>
      <c r="D14" s="139" t="s">
        <v>106</v>
      </c>
      <c r="E14" s="139" t="s">
        <v>106</v>
      </c>
      <c r="F14" s="139"/>
      <c r="G14" s="139"/>
      <c r="H14" s="139"/>
      <c r="I14" s="139"/>
      <c r="J14" s="140"/>
      <c r="K14" s="140"/>
      <c r="L14" s="141">
        <f t="array" ref="L14">SUM(IF( 'Individual Stats'!O14:AW14="", 0, IFERROR( VLOOKUP( 'Individual Stats'!O14:AW14, 'Accepted Drops'!$B$84:$R$328, 17, FALSE ), 0 ) ))</f>
        <v>2.5</v>
      </c>
      <c r="M14" s="142">
        <f t="shared" si="1"/>
        <v>2</v>
      </c>
      <c r="N14" s="147">
        <f t="array" ref="N14">SUM(IFERROR(VLOOKUP('Tradeable Drops'!B14:AF14, {'Accepted Drops'!$AG$83:$AG$330,'Accepted Drops'!$AC$83:$AC$330}, 2, 0),0))</f>
        <v>896607</v>
      </c>
      <c r="O14" s="139" t="s">
        <v>150</v>
      </c>
      <c r="P14" s="139" t="s">
        <v>119</v>
      </c>
      <c r="Q14" s="139"/>
      <c r="R14" s="139"/>
      <c r="S14" s="139"/>
      <c r="T14" s="144"/>
      <c r="U14" s="144"/>
      <c r="V14" s="144"/>
      <c r="W14" s="144"/>
      <c r="X14" s="144"/>
      <c r="Y14" s="139"/>
      <c r="Z14" s="144"/>
      <c r="AA14" s="145"/>
      <c r="AB14" s="145"/>
      <c r="AC14" s="145"/>
      <c r="AD14" s="145"/>
      <c r="AE14" s="145"/>
      <c r="AF14" s="145"/>
      <c r="AG14" s="145"/>
      <c r="AH14" s="145"/>
      <c r="AI14" s="145"/>
      <c r="AJ14" s="146"/>
      <c r="AK14" s="146"/>
      <c r="AL14" s="146"/>
      <c r="AM14" s="146"/>
      <c r="AN14" s="146"/>
      <c r="AO14" s="146"/>
      <c r="AP14" s="146"/>
      <c r="AQ14" s="146"/>
      <c r="AR14" s="146"/>
      <c r="AS14" s="146"/>
      <c r="AT14" s="146"/>
      <c r="AU14" s="146"/>
      <c r="AV14" s="146"/>
      <c r="AW14" s="146"/>
    </row>
    <row r="15" ht="22.5" customHeight="1">
      <c r="A15" s="138" t="s">
        <v>151</v>
      </c>
      <c r="B15" s="139"/>
      <c r="C15" s="139"/>
      <c r="D15" s="139" t="s">
        <v>106</v>
      </c>
      <c r="E15" s="139"/>
      <c r="F15" s="139"/>
      <c r="G15" s="139"/>
      <c r="H15" s="139"/>
      <c r="I15" s="139" t="s">
        <v>106</v>
      </c>
      <c r="J15" s="140"/>
      <c r="K15" s="149" t="s">
        <v>106</v>
      </c>
      <c r="L15" s="141">
        <f t="array" ref="L15">SUM(IF( 'Individual Stats'!O15:AW15="", 0, IFERROR( VLOOKUP( 'Individual Stats'!O15:AW15, 'Accepted Drops'!$B$84:$R$328, 17, FALSE ), 0 ) ))</f>
        <v>19.5</v>
      </c>
      <c r="M15" s="142">
        <f t="shared" si="1"/>
        <v>12</v>
      </c>
      <c r="N15" s="147">
        <f t="array" ref="N15">SUM(IFERROR(VLOOKUP('Tradeable Drops'!B15:AF15, {'Accepted Drops'!$AG$83:$AG$330,'Accepted Drops'!$AC$83:$AC$330}, 2, 0),0))</f>
        <v>1954843</v>
      </c>
      <c r="O15" s="139" t="s">
        <v>152</v>
      </c>
      <c r="P15" s="139" t="s">
        <v>153</v>
      </c>
      <c r="Q15" s="139" t="s">
        <v>154</v>
      </c>
      <c r="R15" s="139" t="s">
        <v>118</v>
      </c>
      <c r="S15" s="139" t="s">
        <v>154</v>
      </c>
      <c r="T15" s="144" t="s">
        <v>155</v>
      </c>
      <c r="U15" s="144" t="s">
        <v>102</v>
      </c>
      <c r="V15" s="144" t="s">
        <v>103</v>
      </c>
      <c r="W15" s="144" t="s">
        <v>156</v>
      </c>
      <c r="X15" s="144" t="s">
        <v>101</v>
      </c>
      <c r="Y15" s="139" t="s">
        <v>157</v>
      </c>
      <c r="Z15" s="144" t="s">
        <v>157</v>
      </c>
      <c r="AA15" s="145"/>
      <c r="AB15" s="145"/>
      <c r="AC15" s="145"/>
      <c r="AD15" s="145"/>
      <c r="AE15" s="145"/>
      <c r="AF15" s="145"/>
      <c r="AG15" s="145"/>
      <c r="AH15" s="145"/>
      <c r="AI15" s="145"/>
      <c r="AJ15" s="146"/>
      <c r="AK15" s="146"/>
      <c r="AL15" s="146"/>
      <c r="AM15" s="146"/>
      <c r="AN15" s="146"/>
      <c r="AO15" s="146"/>
      <c r="AP15" s="146"/>
      <c r="AQ15" s="146"/>
      <c r="AR15" s="146"/>
      <c r="AS15" s="146"/>
      <c r="AT15" s="146"/>
      <c r="AU15" s="146"/>
      <c r="AV15" s="146"/>
      <c r="AW15" s="146"/>
    </row>
    <row r="16" ht="22.5" customHeight="1">
      <c r="A16" s="138" t="s">
        <v>158</v>
      </c>
      <c r="B16" s="139"/>
      <c r="C16" s="139"/>
      <c r="D16" s="139"/>
      <c r="E16" s="139"/>
      <c r="F16" s="139"/>
      <c r="G16" s="139"/>
      <c r="H16" s="139"/>
      <c r="I16" s="139"/>
      <c r="J16" s="140"/>
      <c r="K16" s="140"/>
      <c r="L16" s="141">
        <f t="array" ref="L16">SUM(IF( 'Individual Stats'!O16:AW16="", 0, IFERROR( VLOOKUP( 'Individual Stats'!O16:AW16, 'Accepted Drops'!$B$84:$R$328, 17, FALSE ), 0 ) ))</f>
        <v>35.33333333</v>
      </c>
      <c r="M16" s="142">
        <f t="shared" si="1"/>
        <v>6</v>
      </c>
      <c r="N16" s="143">
        <f t="array" ref="N16">SUM(IFERROR(VLOOKUP('Tradeable Drops'!B16:AF16, {'Accepted Drops'!$AG$83:$AG$330,'Accepted Drops'!$AC$83:$AC$330}, 2, 0),0))</f>
        <v>110546106</v>
      </c>
      <c r="O16" s="139" t="s">
        <v>159</v>
      </c>
      <c r="P16" s="139" t="s">
        <v>103</v>
      </c>
      <c r="Q16" s="139" t="s">
        <v>160</v>
      </c>
      <c r="R16" s="139" t="s">
        <v>159</v>
      </c>
      <c r="S16" s="139" t="s">
        <v>161</v>
      </c>
      <c r="T16" s="144" t="s">
        <v>160</v>
      </c>
      <c r="U16" s="144"/>
      <c r="V16" s="144"/>
      <c r="W16" s="144"/>
      <c r="X16" s="144"/>
      <c r="Y16" s="139"/>
      <c r="Z16" s="144"/>
      <c r="AA16" s="145"/>
      <c r="AB16" s="145"/>
      <c r="AC16" s="145"/>
      <c r="AD16" s="145"/>
      <c r="AE16" s="145"/>
      <c r="AF16" s="145"/>
      <c r="AG16" s="145"/>
      <c r="AH16" s="145"/>
      <c r="AI16" s="145"/>
      <c r="AJ16" s="146"/>
      <c r="AK16" s="146"/>
      <c r="AL16" s="146"/>
      <c r="AM16" s="146"/>
      <c r="AN16" s="146"/>
      <c r="AO16" s="146"/>
      <c r="AP16" s="146"/>
      <c r="AQ16" s="146"/>
      <c r="AR16" s="146"/>
      <c r="AS16" s="146"/>
      <c r="AT16" s="146"/>
      <c r="AU16" s="146"/>
      <c r="AV16" s="146"/>
      <c r="AW16" s="146"/>
    </row>
    <row r="17" ht="22.5" customHeight="1">
      <c r="A17" s="138" t="s">
        <v>162</v>
      </c>
      <c r="B17" s="139"/>
      <c r="C17" s="139"/>
      <c r="D17" s="139" t="s">
        <v>106</v>
      </c>
      <c r="E17" s="139"/>
      <c r="F17" s="139"/>
      <c r="G17" s="139"/>
      <c r="H17" s="139"/>
      <c r="I17" s="139"/>
      <c r="J17" s="140"/>
      <c r="K17" s="140"/>
      <c r="L17" s="141">
        <f t="array" ref="L17">SUM(IF( 'Individual Stats'!O17:AW17="", 0, IFERROR( VLOOKUP( 'Individual Stats'!O17:AW17, 'Accepted Drops'!$B$84:$R$328, 17, FALSE ), 0 ) ))</f>
        <v>28.09722222</v>
      </c>
      <c r="M17" s="142">
        <f t="shared" si="1"/>
        <v>12</v>
      </c>
      <c r="N17" s="143">
        <f t="array" ref="N17">SUM(IFERROR(VLOOKUP('Tradeable Drops'!B17:AF17, {'Accepted Drops'!$AG$83:$AG$330,'Accepted Drops'!$AC$83:$AC$330}, 2, 0),0))</f>
        <v>55511421</v>
      </c>
      <c r="O17" s="139" t="s">
        <v>163</v>
      </c>
      <c r="P17" s="139" t="s">
        <v>163</v>
      </c>
      <c r="Q17" s="139" t="s">
        <v>164</v>
      </c>
      <c r="R17" s="139" t="s">
        <v>165</v>
      </c>
      <c r="S17" s="139" t="s">
        <v>138</v>
      </c>
      <c r="T17" s="144" t="s">
        <v>166</v>
      </c>
      <c r="U17" s="144" t="s">
        <v>121</v>
      </c>
      <c r="V17" s="144" t="s">
        <v>97</v>
      </c>
      <c r="W17" s="144" t="s">
        <v>165</v>
      </c>
      <c r="X17" s="144" t="s">
        <v>165</v>
      </c>
      <c r="Y17" s="139" t="s">
        <v>131</v>
      </c>
      <c r="Z17" s="144" t="s">
        <v>167</v>
      </c>
      <c r="AA17" s="145"/>
      <c r="AB17" s="145"/>
      <c r="AC17" s="145"/>
      <c r="AD17" s="145"/>
      <c r="AE17" s="145"/>
      <c r="AF17" s="145"/>
      <c r="AG17" s="145"/>
      <c r="AH17" s="145"/>
      <c r="AI17" s="145"/>
      <c r="AJ17" s="146"/>
      <c r="AK17" s="146"/>
      <c r="AL17" s="146"/>
      <c r="AM17" s="146"/>
      <c r="AN17" s="146"/>
      <c r="AO17" s="146"/>
      <c r="AP17" s="146"/>
      <c r="AQ17" s="146"/>
      <c r="AR17" s="146"/>
      <c r="AS17" s="146"/>
      <c r="AT17" s="146"/>
      <c r="AU17" s="146"/>
      <c r="AV17" s="146"/>
      <c r="AW17" s="146"/>
    </row>
    <row r="18" ht="22.5" customHeight="1">
      <c r="A18" s="138" t="s">
        <v>168</v>
      </c>
      <c r="B18" s="139" t="s">
        <v>106</v>
      </c>
      <c r="C18" s="139" t="s">
        <v>106</v>
      </c>
      <c r="D18" s="139" t="s">
        <v>106</v>
      </c>
      <c r="E18" s="139" t="s">
        <v>106</v>
      </c>
      <c r="F18" s="139"/>
      <c r="G18" s="139"/>
      <c r="H18" s="139"/>
      <c r="I18" s="139" t="s">
        <v>106</v>
      </c>
      <c r="J18" s="140"/>
      <c r="K18" s="140"/>
      <c r="L18" s="141">
        <f t="array" ref="L18">SUM(IF( 'Individual Stats'!O18:AW18="", 0, IFERROR( VLOOKUP( 'Individual Stats'!O18:AW18, 'Accepted Drops'!$B$84:$R$328, 17, FALSE ), 0 ) ))</f>
        <v>3.833333333</v>
      </c>
      <c r="M18" s="142">
        <f t="shared" si="1"/>
        <v>2</v>
      </c>
      <c r="N18" s="147">
        <f t="array" ref="N18">SUM(IFERROR(VLOOKUP('Tradeable Drops'!B18:AF18, {'Accepted Drops'!$AG$83:$AG$330,'Accepted Drops'!$AC$83:$AC$330}, 2, 0),0))</f>
        <v>36486338</v>
      </c>
      <c r="O18" s="139" t="s">
        <v>169</v>
      </c>
      <c r="P18" s="139" t="s">
        <v>128</v>
      </c>
      <c r="Q18" s="139"/>
      <c r="R18" s="139"/>
      <c r="S18" s="139"/>
      <c r="T18" s="144"/>
      <c r="U18" s="144"/>
      <c r="V18" s="144"/>
      <c r="W18" s="144"/>
      <c r="X18" s="144"/>
      <c r="Y18" s="139"/>
      <c r="Z18" s="144"/>
      <c r="AA18" s="145"/>
      <c r="AB18" s="145"/>
      <c r="AC18" s="145"/>
      <c r="AD18" s="145"/>
      <c r="AE18" s="145"/>
      <c r="AF18" s="145"/>
      <c r="AG18" s="145"/>
      <c r="AH18" s="145"/>
      <c r="AI18" s="145"/>
      <c r="AJ18" s="146"/>
      <c r="AK18" s="146"/>
      <c r="AL18" s="146"/>
      <c r="AM18" s="146"/>
      <c r="AN18" s="146"/>
      <c r="AO18" s="146"/>
      <c r="AP18" s="146"/>
      <c r="AQ18" s="146"/>
      <c r="AR18" s="146"/>
      <c r="AS18" s="146"/>
      <c r="AT18" s="146"/>
      <c r="AU18" s="146"/>
      <c r="AV18" s="146"/>
      <c r="AW18" s="146"/>
    </row>
    <row r="19" ht="22.5" customHeight="1">
      <c r="A19" s="138" t="s">
        <v>170</v>
      </c>
      <c r="B19" s="139"/>
      <c r="C19" s="139"/>
      <c r="D19" s="139"/>
      <c r="E19" s="139" t="s">
        <v>106</v>
      </c>
      <c r="F19" s="139" t="s">
        <v>106</v>
      </c>
      <c r="G19" s="139"/>
      <c r="H19" s="139"/>
      <c r="I19" s="139"/>
      <c r="J19" s="140"/>
      <c r="K19" s="140"/>
      <c r="L19" s="141">
        <f t="array" ref="L19">SUM(IF( 'Individual Stats'!O19:AW19="", 0, IFERROR( VLOOKUP( 'Individual Stats'!O19:AW19, 'Accepted Drops'!$B$84:$R$328, 17, FALSE ), 0 ) ))</f>
        <v>24.41666667</v>
      </c>
      <c r="M19" s="142">
        <f t="shared" si="1"/>
        <v>7</v>
      </c>
      <c r="N19" s="147">
        <f t="array" ref="N19">SUM(IFERROR(VLOOKUP('Tradeable Drops'!B19:AF19, {'Accepted Drops'!$AG$83:$AG$330,'Accepted Drops'!$AC$83:$AC$330}, 2, 0),0))</f>
        <v>64994854</v>
      </c>
      <c r="O19" s="139" t="s">
        <v>171</v>
      </c>
      <c r="P19" s="139" t="s">
        <v>119</v>
      </c>
      <c r="Q19" s="139" t="s">
        <v>172</v>
      </c>
      <c r="R19" s="139" t="s">
        <v>173</v>
      </c>
      <c r="S19" s="139" t="s">
        <v>166</v>
      </c>
      <c r="T19" s="144" t="s">
        <v>174</v>
      </c>
      <c r="U19" s="144" t="s">
        <v>175</v>
      </c>
      <c r="V19" s="144"/>
      <c r="W19" s="144"/>
      <c r="X19" s="145"/>
      <c r="Y19" s="148"/>
      <c r="Z19" s="145"/>
      <c r="AA19" s="145"/>
      <c r="AB19" s="145"/>
      <c r="AC19" s="145"/>
      <c r="AD19" s="145"/>
      <c r="AE19" s="145"/>
      <c r="AF19" s="145"/>
      <c r="AG19" s="145"/>
      <c r="AH19" s="145"/>
      <c r="AI19" s="145"/>
      <c r="AJ19" s="146"/>
      <c r="AK19" s="146"/>
      <c r="AL19" s="146"/>
      <c r="AM19" s="146"/>
      <c r="AN19" s="146"/>
      <c r="AO19" s="146"/>
      <c r="AP19" s="146"/>
      <c r="AQ19" s="146"/>
      <c r="AR19" s="146"/>
      <c r="AS19" s="146"/>
      <c r="AT19" s="146"/>
      <c r="AU19" s="146"/>
      <c r="AV19" s="146"/>
      <c r="AW19" s="146"/>
    </row>
    <row r="20" ht="22.5" customHeight="1">
      <c r="A20" s="151" t="s">
        <v>176</v>
      </c>
      <c r="B20" s="152"/>
      <c r="C20" s="139"/>
      <c r="D20" s="152"/>
      <c r="E20" s="139" t="s">
        <v>106</v>
      </c>
      <c r="F20" s="139"/>
      <c r="G20" s="139"/>
      <c r="H20" s="139"/>
      <c r="I20" s="139"/>
      <c r="J20" s="140"/>
      <c r="K20" s="140"/>
      <c r="L20" s="141">
        <f t="array" ref="L20">SUM(IF( 'Individual Stats'!O20:AW20="", 0, IFERROR( VLOOKUP( 'Individual Stats'!O20:AW20, 'Accepted Drops'!$B$84:$R$328, 17, FALSE ), 0 ) ))</f>
        <v>24</v>
      </c>
      <c r="M20" s="142">
        <f t="shared" si="1"/>
        <v>6</v>
      </c>
      <c r="N20" s="147">
        <f t="array" ref="N20">SUM(IFERROR(VLOOKUP('Tradeable Drops'!B20:AF20, {'Accepted Drops'!$AG$83:$AG$330,'Accepted Drops'!$AC$83:$AC$330}, 2, 0),0))</f>
        <v>19961031</v>
      </c>
      <c r="O20" s="139" t="s">
        <v>165</v>
      </c>
      <c r="P20" s="139" t="s">
        <v>137</v>
      </c>
      <c r="Q20" s="139" t="s">
        <v>177</v>
      </c>
      <c r="R20" s="139" t="s">
        <v>138</v>
      </c>
      <c r="S20" s="139" t="s">
        <v>148</v>
      </c>
      <c r="T20" s="144" t="s">
        <v>139</v>
      </c>
      <c r="U20" s="145"/>
      <c r="V20" s="145"/>
      <c r="W20" s="145"/>
      <c r="X20" s="145"/>
      <c r="Y20" s="148"/>
      <c r="Z20" s="145"/>
      <c r="AA20" s="145"/>
      <c r="AB20" s="145"/>
      <c r="AC20" s="145"/>
      <c r="AD20" s="145"/>
      <c r="AE20" s="145"/>
      <c r="AF20" s="145"/>
      <c r="AG20" s="145"/>
      <c r="AH20" s="145"/>
      <c r="AI20" s="145"/>
      <c r="AJ20" s="146"/>
      <c r="AK20" s="146"/>
      <c r="AL20" s="146"/>
      <c r="AM20" s="146"/>
      <c r="AN20" s="146"/>
      <c r="AO20" s="146"/>
      <c r="AP20" s="146"/>
      <c r="AQ20" s="146"/>
      <c r="AR20" s="146"/>
      <c r="AS20" s="146"/>
      <c r="AT20" s="146"/>
      <c r="AU20" s="146"/>
      <c r="AV20" s="146"/>
      <c r="AW20" s="146"/>
    </row>
    <row r="21" ht="22.5" customHeight="1">
      <c r="A21" s="138" t="s">
        <v>178</v>
      </c>
      <c r="B21" s="139"/>
      <c r="C21" s="139"/>
      <c r="D21" s="139"/>
      <c r="E21" s="139"/>
      <c r="F21" s="139" t="s">
        <v>106</v>
      </c>
      <c r="G21" s="139"/>
      <c r="H21" s="139"/>
      <c r="I21" s="139"/>
      <c r="J21" s="140"/>
      <c r="K21" s="140"/>
      <c r="L21" s="141">
        <f t="array" ref="L21">SUM(IF( 'Individual Stats'!O21:AW21="", 0, IFERROR( VLOOKUP( 'Individual Stats'!O21:AW21, 'Accepted Drops'!$B$84:$R$328, 17, FALSE ), 0 ) ))</f>
        <v>0</v>
      </c>
      <c r="M21" s="142">
        <f t="shared" si="1"/>
        <v>0</v>
      </c>
      <c r="N21" s="147">
        <f t="array" ref="N21">SUM(IFERROR(VLOOKUP('Tradeable Drops'!B21:AF21, {'Accepted Drops'!$AG$83:$AG$330,'Accepted Drops'!$AC$83:$AC$330}, 2, 0),0))</f>
        <v>0</v>
      </c>
      <c r="O21" s="139"/>
      <c r="P21" s="139"/>
      <c r="Q21" s="139"/>
      <c r="R21" s="139"/>
      <c r="S21" s="139"/>
      <c r="T21" s="144"/>
      <c r="U21" s="144"/>
      <c r="V21" s="144"/>
      <c r="W21" s="144"/>
      <c r="X21" s="144"/>
      <c r="Y21" s="139"/>
      <c r="Z21" s="144"/>
      <c r="AA21" s="145"/>
      <c r="AB21" s="145"/>
      <c r="AC21" s="145"/>
      <c r="AD21" s="145"/>
      <c r="AE21" s="145"/>
      <c r="AF21" s="145"/>
      <c r="AG21" s="145"/>
      <c r="AH21" s="145"/>
      <c r="AI21" s="145"/>
      <c r="AJ21" s="146"/>
      <c r="AK21" s="146"/>
      <c r="AL21" s="146"/>
      <c r="AM21" s="146"/>
      <c r="AN21" s="146"/>
      <c r="AO21" s="146"/>
      <c r="AP21" s="146"/>
      <c r="AQ21" s="146"/>
      <c r="AR21" s="146"/>
      <c r="AS21" s="146"/>
      <c r="AT21" s="146"/>
      <c r="AU21" s="146"/>
      <c r="AV21" s="146"/>
      <c r="AW21" s="146"/>
    </row>
    <row r="22" ht="22.5" customHeight="1">
      <c r="A22" s="138" t="s">
        <v>179</v>
      </c>
      <c r="B22" s="139" t="s">
        <v>106</v>
      </c>
      <c r="C22" s="139" t="s">
        <v>106</v>
      </c>
      <c r="D22" s="139" t="s">
        <v>106</v>
      </c>
      <c r="E22" s="139" t="s">
        <v>106</v>
      </c>
      <c r="F22" s="139" t="s">
        <v>106</v>
      </c>
      <c r="G22" s="139"/>
      <c r="H22" s="139"/>
      <c r="I22" s="139" t="s">
        <v>106</v>
      </c>
      <c r="J22" s="149" t="s">
        <v>106</v>
      </c>
      <c r="K22" s="149" t="s">
        <v>106</v>
      </c>
      <c r="L22" s="141">
        <f t="array" ref="L22">SUM(IF( 'Individual Stats'!O22:AW22="", 0, IFERROR( VLOOKUP( 'Individual Stats'!O22:AW22, 'Accepted Drops'!$B$84:$R$328, 17, FALSE ), 0 ) ))</f>
        <v>5.125</v>
      </c>
      <c r="M22" s="142">
        <f t="shared" si="1"/>
        <v>6</v>
      </c>
      <c r="N22" s="147">
        <f t="array" ref="N22">SUM(IFERROR(VLOOKUP('Tradeable Drops'!B22:AF22, {'Accepted Drops'!$AG$83:$AG$330,'Accepted Drops'!$AC$83:$AC$330}, 2, 0),0))</f>
        <v>1408462</v>
      </c>
      <c r="O22" s="139" t="s">
        <v>180</v>
      </c>
      <c r="P22" s="139" t="s">
        <v>180</v>
      </c>
      <c r="Q22" s="139" t="s">
        <v>180</v>
      </c>
      <c r="R22" s="139" t="s">
        <v>116</v>
      </c>
      <c r="S22" s="139" t="s">
        <v>128</v>
      </c>
      <c r="T22" s="144" t="s">
        <v>157</v>
      </c>
      <c r="U22" s="145"/>
      <c r="V22" s="145"/>
      <c r="W22" s="145"/>
      <c r="X22" s="145"/>
      <c r="Y22" s="148"/>
      <c r="Z22" s="145"/>
      <c r="AA22" s="145"/>
      <c r="AB22" s="145"/>
      <c r="AC22" s="145"/>
      <c r="AD22" s="145"/>
      <c r="AE22" s="145"/>
      <c r="AF22" s="145"/>
      <c r="AG22" s="145"/>
      <c r="AH22" s="145"/>
      <c r="AI22" s="145"/>
      <c r="AJ22" s="146"/>
      <c r="AK22" s="146"/>
      <c r="AL22" s="146"/>
      <c r="AM22" s="146"/>
      <c r="AN22" s="146"/>
      <c r="AO22" s="146"/>
      <c r="AP22" s="146"/>
      <c r="AQ22" s="146"/>
      <c r="AR22" s="146"/>
      <c r="AS22" s="146"/>
      <c r="AT22" s="146"/>
      <c r="AU22" s="146"/>
      <c r="AV22" s="146"/>
      <c r="AW22" s="146"/>
    </row>
    <row r="23" ht="22.5" customHeight="1">
      <c r="A23" s="138" t="s">
        <v>181</v>
      </c>
      <c r="B23" s="139"/>
      <c r="C23" s="139"/>
      <c r="D23" s="139"/>
      <c r="E23" s="139"/>
      <c r="F23" s="139"/>
      <c r="G23" s="139"/>
      <c r="H23" s="139"/>
      <c r="I23" s="139"/>
      <c r="J23" s="140"/>
      <c r="K23" s="140"/>
      <c r="L23" s="141">
        <f t="array" ref="L23">SUM(IF( 'Individual Stats'!O23:AW23="", 0, IFERROR( VLOOKUP( 'Individual Stats'!O23:AW23, 'Accepted Drops'!$B$84:$R$328, 17, FALSE ), 0 ) ))</f>
        <v>5</v>
      </c>
      <c r="M23" s="142">
        <f t="shared" si="1"/>
        <v>4</v>
      </c>
      <c r="N23" s="147">
        <f t="array" ref="N23">SUM(IFERROR(VLOOKUP('Tradeable Drops'!B23:AF23, {'Accepted Drops'!$AG$83:$AG$330,'Accepted Drops'!$AC$83:$AC$330}, 2, 0),0))</f>
        <v>203276</v>
      </c>
      <c r="O23" s="139" t="s">
        <v>136</v>
      </c>
      <c r="P23" s="139" t="s">
        <v>182</v>
      </c>
      <c r="Q23" s="139" t="s">
        <v>183</v>
      </c>
      <c r="R23" s="139" t="s">
        <v>183</v>
      </c>
      <c r="S23" s="148"/>
      <c r="T23" s="145"/>
      <c r="U23" s="145"/>
      <c r="V23" s="145"/>
      <c r="W23" s="145"/>
      <c r="X23" s="145"/>
      <c r="Y23" s="148"/>
      <c r="Z23" s="145"/>
      <c r="AA23" s="145"/>
      <c r="AB23" s="145"/>
      <c r="AC23" s="145"/>
      <c r="AD23" s="145"/>
      <c r="AE23" s="145"/>
      <c r="AF23" s="145"/>
      <c r="AG23" s="145"/>
      <c r="AH23" s="145"/>
      <c r="AI23" s="145"/>
      <c r="AJ23" s="146"/>
      <c r="AK23" s="146"/>
      <c r="AL23" s="146"/>
      <c r="AM23" s="146"/>
      <c r="AN23" s="146"/>
      <c r="AO23" s="146"/>
      <c r="AP23" s="146"/>
      <c r="AQ23" s="146"/>
      <c r="AR23" s="146"/>
      <c r="AS23" s="146"/>
      <c r="AT23" s="146"/>
      <c r="AU23" s="146"/>
      <c r="AV23" s="146"/>
      <c r="AW23" s="146"/>
    </row>
    <row r="24" ht="22.5" customHeight="1">
      <c r="A24" s="138" t="s">
        <v>184</v>
      </c>
      <c r="B24" s="139"/>
      <c r="C24" s="139"/>
      <c r="D24" s="139"/>
      <c r="E24" s="139"/>
      <c r="F24" s="139" t="s">
        <v>106</v>
      </c>
      <c r="G24" s="139"/>
      <c r="H24" s="139"/>
      <c r="I24" s="139"/>
      <c r="J24" s="140"/>
      <c r="K24" s="140"/>
      <c r="L24" s="141">
        <f t="array" ref="L24">SUM(IF( 'Individual Stats'!O24:AW24="", 0, IFERROR( VLOOKUP( 'Individual Stats'!O24:AW24, 'Accepted Drops'!$B$84:$R$328, 17, FALSE ), 0 ) ))</f>
        <v>32.22222222</v>
      </c>
      <c r="M24" s="142">
        <f t="shared" si="1"/>
        <v>8</v>
      </c>
      <c r="N24" s="147">
        <f t="array" ref="N24">SUM(IFERROR(VLOOKUP('Tradeable Drops'!B24:AF24, {'Accepted Drops'!$AG$83:$AG$330,'Accepted Drops'!$AC$83:$AC$330}, 2, 0),0))</f>
        <v>133328092</v>
      </c>
      <c r="O24" s="139" t="s">
        <v>185</v>
      </c>
      <c r="P24" s="139" t="s">
        <v>108</v>
      </c>
      <c r="Q24" s="139" t="s">
        <v>186</v>
      </c>
      <c r="R24" s="139" t="s">
        <v>187</v>
      </c>
      <c r="S24" s="139" t="s">
        <v>188</v>
      </c>
      <c r="T24" s="144" t="s">
        <v>189</v>
      </c>
      <c r="U24" s="144" t="s">
        <v>104</v>
      </c>
      <c r="V24" s="144" t="s">
        <v>190</v>
      </c>
      <c r="W24" s="145"/>
      <c r="X24" s="145"/>
      <c r="Y24" s="148"/>
      <c r="Z24" s="145"/>
      <c r="AA24" s="145"/>
      <c r="AB24" s="145"/>
      <c r="AC24" s="145"/>
      <c r="AD24" s="145"/>
      <c r="AE24" s="145"/>
      <c r="AF24" s="145"/>
      <c r="AG24" s="145"/>
      <c r="AH24" s="145"/>
      <c r="AI24" s="145"/>
      <c r="AJ24" s="146"/>
      <c r="AK24" s="146"/>
      <c r="AL24" s="146"/>
      <c r="AM24" s="146"/>
      <c r="AN24" s="146"/>
      <c r="AO24" s="146"/>
      <c r="AP24" s="146"/>
      <c r="AQ24" s="146"/>
      <c r="AR24" s="146"/>
      <c r="AS24" s="146"/>
      <c r="AT24" s="146"/>
      <c r="AU24" s="146"/>
      <c r="AV24" s="146"/>
      <c r="AW24" s="146"/>
    </row>
    <row r="25" ht="22.5" customHeight="1">
      <c r="A25" s="151" t="s">
        <v>191</v>
      </c>
      <c r="B25" s="139" t="s">
        <v>106</v>
      </c>
      <c r="C25" s="139" t="s">
        <v>106</v>
      </c>
      <c r="D25" s="139" t="s">
        <v>106</v>
      </c>
      <c r="E25" s="139" t="s">
        <v>106</v>
      </c>
      <c r="F25" s="139" t="s">
        <v>106</v>
      </c>
      <c r="G25" s="139"/>
      <c r="H25" s="139"/>
      <c r="I25" s="139" t="s">
        <v>106</v>
      </c>
      <c r="J25" s="149" t="s">
        <v>106</v>
      </c>
      <c r="K25" s="149" t="s">
        <v>106</v>
      </c>
      <c r="L25" s="141">
        <f t="array" ref="L25">SUM(IF( 'Individual Stats'!O25:AW25="", 0, IFERROR( VLOOKUP( 'Individual Stats'!O25:AW25, 'Accepted Drops'!$B$84:$R$328, 17, FALSE ), 0 ) ))</f>
        <v>22.41666667</v>
      </c>
      <c r="M25" s="142">
        <f t="shared" si="1"/>
        <v>17</v>
      </c>
      <c r="N25" s="147">
        <f t="array" ref="N25">SUM(IFERROR(VLOOKUP('Tradeable Drops'!B25:AF25, {'Accepted Drops'!$AG$83:$AG$330,'Accepted Drops'!$AC$83:$AC$330}, 2, 0),0))</f>
        <v>197152349</v>
      </c>
      <c r="O25" s="139" t="s">
        <v>192</v>
      </c>
      <c r="P25" s="139" t="s">
        <v>193</v>
      </c>
      <c r="Q25" s="139" t="s">
        <v>124</v>
      </c>
      <c r="R25" s="139" t="s">
        <v>193</v>
      </c>
      <c r="S25" s="139" t="s">
        <v>194</v>
      </c>
      <c r="T25" s="144" t="s">
        <v>195</v>
      </c>
      <c r="U25" s="144" t="s">
        <v>195</v>
      </c>
      <c r="V25" s="144" t="s">
        <v>124</v>
      </c>
      <c r="W25" s="144" t="s">
        <v>169</v>
      </c>
      <c r="X25" s="144" t="s">
        <v>194</v>
      </c>
      <c r="Y25" s="139" t="s">
        <v>128</v>
      </c>
      <c r="Z25" s="144" t="s">
        <v>128</v>
      </c>
      <c r="AA25" s="144" t="s">
        <v>128</v>
      </c>
      <c r="AB25" s="144" t="s">
        <v>163</v>
      </c>
      <c r="AC25" s="144" t="s">
        <v>98</v>
      </c>
      <c r="AD25" s="144" t="s">
        <v>196</v>
      </c>
      <c r="AE25" s="144" t="s">
        <v>122</v>
      </c>
      <c r="AF25" s="145"/>
      <c r="AG25" s="145"/>
      <c r="AH25" s="145"/>
      <c r="AI25" s="145"/>
      <c r="AJ25" s="146"/>
      <c r="AK25" s="146"/>
      <c r="AL25" s="146"/>
      <c r="AM25" s="146"/>
      <c r="AN25" s="146"/>
      <c r="AO25" s="146"/>
      <c r="AP25" s="146"/>
      <c r="AQ25" s="146"/>
      <c r="AR25" s="146"/>
      <c r="AS25" s="146"/>
      <c r="AT25" s="146"/>
      <c r="AU25" s="146"/>
      <c r="AV25" s="146"/>
      <c r="AW25" s="146"/>
    </row>
    <row r="26" ht="22.5" customHeight="1">
      <c r="A26" s="138" t="s">
        <v>197</v>
      </c>
      <c r="B26" s="139"/>
      <c r="C26" s="139"/>
      <c r="D26" s="139"/>
      <c r="E26" s="139"/>
      <c r="F26" s="139"/>
      <c r="G26" s="139"/>
      <c r="H26" s="139"/>
      <c r="I26" s="139"/>
      <c r="J26" s="140"/>
      <c r="K26" s="140"/>
      <c r="L26" s="141">
        <f t="array" ref="L26">SUM(IF( 'Individual Stats'!O26:AW26="", 0, IFERROR( VLOOKUP( 'Individual Stats'!O26:AW26, 'Accepted Drops'!$B$84:$R$328, 17, FALSE ), 0 ) ))</f>
        <v>3</v>
      </c>
      <c r="M26" s="142">
        <f t="shared" si="1"/>
        <v>4</v>
      </c>
      <c r="N26" s="147">
        <f t="array" ref="N26">SUM(IFERROR(VLOOKUP('Tradeable Drops'!B26:AF26, {'Accepted Drops'!$AG$83:$AG$330,'Accepted Drops'!$AC$83:$AC$330}, 2, 0),0))</f>
        <v>9056479</v>
      </c>
      <c r="O26" s="139" t="s">
        <v>198</v>
      </c>
      <c r="P26" s="139" t="s">
        <v>199</v>
      </c>
      <c r="Q26" s="139" t="s">
        <v>200</v>
      </c>
      <c r="R26" s="139" t="s">
        <v>201</v>
      </c>
      <c r="S26" s="139"/>
      <c r="T26" s="144"/>
      <c r="U26" s="144"/>
      <c r="V26" s="144"/>
      <c r="W26" s="144"/>
      <c r="X26" s="144"/>
      <c r="Y26" s="139"/>
      <c r="Z26" s="144"/>
      <c r="AA26" s="144"/>
      <c r="AB26" s="144"/>
      <c r="AC26" s="144"/>
      <c r="AD26" s="144"/>
      <c r="AE26" s="144"/>
      <c r="AF26" s="144"/>
      <c r="AG26" s="144"/>
      <c r="AH26" s="144"/>
      <c r="AI26" s="144"/>
      <c r="AJ26" s="146"/>
      <c r="AK26" s="146"/>
      <c r="AL26" s="146"/>
      <c r="AM26" s="146"/>
      <c r="AN26" s="146"/>
      <c r="AO26" s="146"/>
      <c r="AP26" s="146"/>
      <c r="AQ26" s="146"/>
      <c r="AR26" s="146"/>
      <c r="AS26" s="153"/>
      <c r="AT26" s="153"/>
      <c r="AU26" s="153"/>
      <c r="AV26" s="153"/>
      <c r="AW26" s="153"/>
    </row>
    <row r="27" ht="22.5" customHeight="1">
      <c r="A27" s="138" t="s">
        <v>202</v>
      </c>
      <c r="B27" s="139"/>
      <c r="C27" s="139"/>
      <c r="D27" s="139" t="s">
        <v>106</v>
      </c>
      <c r="E27" s="139"/>
      <c r="F27" s="139"/>
      <c r="G27" s="139"/>
      <c r="H27" s="139"/>
      <c r="I27" s="139"/>
      <c r="J27" s="140"/>
      <c r="K27" s="140"/>
      <c r="L27" s="141">
        <f t="array" ref="L27">SUM(IF( 'Individual Stats'!O27:AW27="", 0, IFERROR( VLOOKUP( 'Individual Stats'!O27:AW27, 'Accepted Drops'!$B$84:$R$328, 17, FALSE ), 0 ) ))</f>
        <v>9.388888889</v>
      </c>
      <c r="M27" s="142">
        <f t="shared" si="1"/>
        <v>5</v>
      </c>
      <c r="N27" s="147">
        <f t="array" ref="N27">SUM(IFERROR(VLOOKUP('Tradeable Drops'!B27:AF27, {'Accepted Drops'!$AG$83:$AG$330,'Accepted Drops'!$AC$83:$AC$330}, 2, 0),0))</f>
        <v>22594188</v>
      </c>
      <c r="O27" s="139" t="s">
        <v>148</v>
      </c>
      <c r="P27" s="139" t="s">
        <v>203</v>
      </c>
      <c r="Q27" s="139" t="s">
        <v>204</v>
      </c>
      <c r="R27" s="139" t="s">
        <v>205</v>
      </c>
      <c r="S27" s="139" t="s">
        <v>122</v>
      </c>
      <c r="T27" s="144"/>
      <c r="U27" s="144"/>
      <c r="V27" s="144"/>
      <c r="W27" s="144"/>
      <c r="X27" s="144"/>
      <c r="Y27" s="139"/>
      <c r="Z27" s="144"/>
      <c r="AA27" s="145"/>
      <c r="AB27" s="145"/>
      <c r="AC27" s="145"/>
      <c r="AD27" s="145"/>
      <c r="AE27" s="145"/>
      <c r="AF27" s="145"/>
      <c r="AG27" s="145"/>
      <c r="AH27" s="145"/>
      <c r="AI27" s="145"/>
      <c r="AJ27" s="146"/>
      <c r="AK27" s="146"/>
      <c r="AL27" s="146"/>
      <c r="AM27" s="146"/>
      <c r="AN27" s="146"/>
      <c r="AO27" s="146"/>
      <c r="AP27" s="146"/>
      <c r="AQ27" s="146"/>
      <c r="AR27" s="146"/>
      <c r="AS27" s="146"/>
      <c r="AT27" s="146"/>
      <c r="AU27" s="146"/>
      <c r="AV27" s="146"/>
      <c r="AW27" s="146"/>
    </row>
    <row r="28" ht="22.5" customHeight="1">
      <c r="A28" s="138" t="s">
        <v>206</v>
      </c>
      <c r="B28" s="139" t="s">
        <v>106</v>
      </c>
      <c r="C28" s="139" t="s">
        <v>106</v>
      </c>
      <c r="D28" s="139" t="s">
        <v>106</v>
      </c>
      <c r="E28" s="139" t="s">
        <v>106</v>
      </c>
      <c r="F28" s="139"/>
      <c r="G28" s="139"/>
      <c r="H28" s="139"/>
      <c r="I28" s="139"/>
      <c r="J28" s="140"/>
      <c r="K28" s="140"/>
      <c r="L28" s="141">
        <f t="array" ref="L28">SUM(IF( 'Individual Stats'!O28:AW28="", 0, IFERROR( VLOOKUP( 'Individual Stats'!O28:AW28, 'Accepted Drops'!$B$84:$R$328, 17, FALSE ), 0 ) ))</f>
        <v>16</v>
      </c>
      <c r="M28" s="142">
        <f t="shared" si="1"/>
        <v>12</v>
      </c>
      <c r="N28" s="147">
        <f t="array" ref="N28">SUM(IFERROR(VLOOKUP('Tradeable Drops'!B28:AF28, {'Accepted Drops'!$AG$83:$AG$330,'Accepted Drops'!$AC$83:$AC$330}, 2, 0),0))</f>
        <v>2840383</v>
      </c>
      <c r="O28" s="139" t="s">
        <v>207</v>
      </c>
      <c r="P28" s="139" t="s">
        <v>208</v>
      </c>
      <c r="Q28" s="139" t="s">
        <v>207</v>
      </c>
      <c r="R28" s="139" t="s">
        <v>207</v>
      </c>
      <c r="S28" s="139" t="s">
        <v>207</v>
      </c>
      <c r="T28" s="144" t="s">
        <v>207</v>
      </c>
      <c r="U28" s="144" t="s">
        <v>207</v>
      </c>
      <c r="V28" s="144" t="s">
        <v>207</v>
      </c>
      <c r="W28" s="144" t="s">
        <v>207</v>
      </c>
      <c r="X28" s="144" t="s">
        <v>209</v>
      </c>
      <c r="Y28" s="139" t="s">
        <v>172</v>
      </c>
      <c r="Z28" s="144" t="s">
        <v>112</v>
      </c>
      <c r="AA28" s="145"/>
      <c r="AB28" s="145"/>
      <c r="AC28" s="145"/>
      <c r="AD28" s="145"/>
      <c r="AE28" s="145"/>
      <c r="AF28" s="145"/>
      <c r="AG28" s="145"/>
      <c r="AH28" s="145"/>
      <c r="AI28" s="145"/>
      <c r="AJ28" s="146"/>
      <c r="AK28" s="146"/>
      <c r="AL28" s="146"/>
      <c r="AM28" s="146"/>
      <c r="AN28" s="146"/>
      <c r="AO28" s="146"/>
      <c r="AP28" s="146"/>
      <c r="AQ28" s="146"/>
      <c r="AR28" s="146"/>
      <c r="AS28" s="146"/>
      <c r="AT28" s="146"/>
      <c r="AU28" s="146"/>
      <c r="AV28" s="146"/>
      <c r="AW28" s="146"/>
    </row>
    <row r="29" ht="22.5" customHeight="1">
      <c r="A29" s="138" t="s">
        <v>210</v>
      </c>
      <c r="B29" s="139"/>
      <c r="C29" s="139"/>
      <c r="D29" s="139"/>
      <c r="E29" s="139"/>
      <c r="F29" s="139" t="s">
        <v>106</v>
      </c>
      <c r="G29" s="139"/>
      <c r="H29" s="139"/>
      <c r="I29" s="139"/>
      <c r="J29" s="140"/>
      <c r="K29" s="140"/>
      <c r="L29" s="141">
        <f t="array" ref="L29">SUM(IF( 'Individual Stats'!O29:AW29="", 0, IFERROR( VLOOKUP( 'Individual Stats'!O29:AW29, 'Accepted Drops'!$B$84:$R$328, 17, FALSE ), 0 ) ))</f>
        <v>11.125</v>
      </c>
      <c r="M29" s="142">
        <f t="shared" si="1"/>
        <v>4</v>
      </c>
      <c r="N29" s="147">
        <f t="array" ref="N29">SUM(IFERROR(VLOOKUP('Tradeable Drops'!B29:AF29, {'Accepted Drops'!$AG$83:$AG$330,'Accepted Drops'!$AC$83:$AC$330}, 2, 0),0))</f>
        <v>21808091</v>
      </c>
      <c r="O29" s="139" t="s">
        <v>211</v>
      </c>
      <c r="P29" s="139" t="s">
        <v>117</v>
      </c>
      <c r="Q29" s="139" t="s">
        <v>212</v>
      </c>
      <c r="R29" s="139" t="s">
        <v>119</v>
      </c>
      <c r="S29" s="139"/>
      <c r="T29" s="144"/>
      <c r="U29" s="144"/>
      <c r="V29" s="144"/>
      <c r="W29" s="144"/>
      <c r="X29" s="144"/>
      <c r="Y29" s="139"/>
      <c r="Z29" s="144"/>
      <c r="AA29" s="145"/>
      <c r="AB29" s="145"/>
      <c r="AC29" s="145"/>
      <c r="AD29" s="145"/>
      <c r="AE29" s="145"/>
      <c r="AF29" s="145"/>
      <c r="AG29" s="145"/>
      <c r="AH29" s="145"/>
      <c r="AI29" s="145"/>
      <c r="AJ29" s="146"/>
      <c r="AK29" s="146"/>
      <c r="AL29" s="146"/>
      <c r="AM29" s="146"/>
      <c r="AN29" s="146"/>
      <c r="AO29" s="146"/>
      <c r="AP29" s="146"/>
      <c r="AQ29" s="146"/>
      <c r="AR29" s="146"/>
      <c r="AS29" s="146"/>
      <c r="AT29" s="146"/>
      <c r="AU29" s="146"/>
      <c r="AV29" s="146"/>
      <c r="AW29" s="146"/>
    </row>
    <row r="30" ht="22.5" customHeight="1">
      <c r="A30" s="138" t="s">
        <v>213</v>
      </c>
      <c r="B30" s="139"/>
      <c r="C30" s="139"/>
      <c r="D30" s="139"/>
      <c r="E30" s="139"/>
      <c r="F30" s="139" t="s">
        <v>106</v>
      </c>
      <c r="G30" s="139"/>
      <c r="H30" s="139"/>
      <c r="I30" s="139"/>
      <c r="J30" s="140"/>
      <c r="K30" s="140"/>
      <c r="L30" s="141">
        <f t="array" ref="L30">SUM(IF( 'Individual Stats'!O30:AW30="", 0, IFERROR( VLOOKUP( 'Individual Stats'!O30:AW30, 'Accepted Drops'!$B$84:$R$328, 17, FALSE ), 0 ) ))</f>
        <v>0</v>
      </c>
      <c r="M30" s="142">
        <f t="shared" si="1"/>
        <v>0</v>
      </c>
      <c r="N30" s="147">
        <f t="array" ref="N30">SUM(IFERROR(VLOOKUP('Tradeable Drops'!B30:AF30, {'Accepted Drops'!$AG$83:$AG$330,'Accepted Drops'!$AC$83:$AC$330}, 2, 0),0))</f>
        <v>0</v>
      </c>
      <c r="O30" s="139"/>
      <c r="P30" s="139"/>
      <c r="Q30" s="139"/>
      <c r="R30" s="139"/>
      <c r="S30" s="139"/>
      <c r="T30" s="144"/>
      <c r="U30" s="144"/>
      <c r="V30" s="144"/>
      <c r="W30" s="144"/>
      <c r="X30" s="144"/>
      <c r="Y30" s="139"/>
      <c r="Z30" s="144"/>
      <c r="AA30" s="145"/>
      <c r="AB30" s="145"/>
      <c r="AC30" s="145"/>
      <c r="AD30" s="145"/>
      <c r="AE30" s="145"/>
      <c r="AF30" s="145"/>
      <c r="AG30" s="145"/>
      <c r="AH30" s="145"/>
      <c r="AI30" s="145"/>
      <c r="AJ30" s="146"/>
      <c r="AK30" s="146"/>
      <c r="AL30" s="146"/>
      <c r="AM30" s="146"/>
      <c r="AN30" s="146"/>
      <c r="AO30" s="146"/>
      <c r="AP30" s="146"/>
      <c r="AQ30" s="146"/>
      <c r="AR30" s="146"/>
      <c r="AS30" s="146"/>
      <c r="AT30" s="146"/>
      <c r="AU30" s="146"/>
      <c r="AV30" s="146"/>
      <c r="AW30" s="146"/>
    </row>
    <row r="31" ht="22.5" customHeight="1">
      <c r="A31" s="138" t="s">
        <v>214</v>
      </c>
      <c r="B31" s="139"/>
      <c r="C31" s="139"/>
      <c r="D31" s="139" t="s">
        <v>106</v>
      </c>
      <c r="E31" s="139"/>
      <c r="F31" s="139" t="s">
        <v>106</v>
      </c>
      <c r="G31" s="139"/>
      <c r="H31" s="139"/>
      <c r="I31" s="139"/>
      <c r="J31" s="140"/>
      <c r="K31" s="140"/>
      <c r="L31" s="141">
        <f t="array" ref="L31">SUM(IF( 'Individual Stats'!O31:AW31="", 0, IFERROR( VLOOKUP( 'Individual Stats'!O31:AW31, 'Accepted Drops'!$B$84:$R$328, 17, FALSE ), 0 ) ))</f>
        <v>26.19444444</v>
      </c>
      <c r="M31" s="142">
        <f t="shared" si="1"/>
        <v>18</v>
      </c>
      <c r="N31" s="147">
        <f t="array" ref="N31">SUM(IFERROR(VLOOKUP('Tradeable Drops'!B31:AF31, {'Accepted Drops'!$AG$83:$AG$330,'Accepted Drops'!$AC$83:$AC$330}, 2, 0),0))</f>
        <v>32587544</v>
      </c>
      <c r="O31" s="139" t="s">
        <v>199</v>
      </c>
      <c r="P31" s="139" t="s">
        <v>163</v>
      </c>
      <c r="Q31" s="139" t="s">
        <v>198</v>
      </c>
      <c r="R31" s="139" t="s">
        <v>199</v>
      </c>
      <c r="S31" s="139" t="s">
        <v>136</v>
      </c>
      <c r="T31" s="144" t="s">
        <v>104</v>
      </c>
      <c r="U31" s="144" t="s">
        <v>215</v>
      </c>
      <c r="V31" s="144" t="s">
        <v>216</v>
      </c>
      <c r="W31" s="144" t="s">
        <v>183</v>
      </c>
      <c r="X31" s="144" t="s">
        <v>182</v>
      </c>
      <c r="Y31" s="139" t="s">
        <v>128</v>
      </c>
      <c r="Z31" s="144" t="s">
        <v>128</v>
      </c>
      <c r="AA31" s="144" t="s">
        <v>199</v>
      </c>
      <c r="AB31" s="144" t="s">
        <v>217</v>
      </c>
      <c r="AC31" s="144" t="s">
        <v>218</v>
      </c>
      <c r="AD31" s="144" t="s">
        <v>131</v>
      </c>
      <c r="AE31" s="144" t="s">
        <v>219</v>
      </c>
      <c r="AF31" s="144" t="s">
        <v>103</v>
      </c>
      <c r="AG31" s="144"/>
      <c r="AH31" s="145"/>
      <c r="AI31" s="145"/>
      <c r="AJ31" s="146"/>
      <c r="AK31" s="146"/>
      <c r="AL31" s="146"/>
      <c r="AM31" s="146"/>
      <c r="AN31" s="146"/>
      <c r="AO31" s="146"/>
      <c r="AP31" s="146"/>
      <c r="AQ31" s="146"/>
      <c r="AR31" s="146"/>
      <c r="AS31" s="146"/>
      <c r="AT31" s="146"/>
      <c r="AU31" s="146"/>
      <c r="AV31" s="146"/>
      <c r="AW31" s="146"/>
    </row>
    <row r="32" ht="22.5" customHeight="1">
      <c r="A32" s="138" t="s">
        <v>220</v>
      </c>
      <c r="B32" s="139"/>
      <c r="C32" s="139"/>
      <c r="D32" s="139"/>
      <c r="E32" s="139"/>
      <c r="F32" s="139"/>
      <c r="G32" s="139"/>
      <c r="H32" s="139"/>
      <c r="I32" s="139"/>
      <c r="J32" s="140"/>
      <c r="K32" s="140"/>
      <c r="L32" s="141">
        <f t="array" ref="L32">SUM(IF( 'Individual Stats'!O32:AW32="", 0, IFERROR( VLOOKUP( 'Individual Stats'!O32:AW32, 'Accepted Drops'!$B$84:$R$328, 17, FALSE ), 0 ) ))</f>
        <v>9.333333333</v>
      </c>
      <c r="M32" s="142">
        <f t="shared" si="1"/>
        <v>5</v>
      </c>
      <c r="N32" s="147">
        <f t="array" ref="N32">SUM(IFERROR(VLOOKUP('Tradeable Drops'!B32:AF32, {'Accepted Drops'!$AG$83:$AG$330,'Accepted Drops'!$AC$83:$AC$330}, 2, 0),0))</f>
        <v>17628320</v>
      </c>
      <c r="O32" s="139" t="s">
        <v>221</v>
      </c>
      <c r="P32" s="139" t="s">
        <v>203</v>
      </c>
      <c r="Q32" s="139" t="s">
        <v>222</v>
      </c>
      <c r="R32" s="139" t="s">
        <v>223</v>
      </c>
      <c r="S32" s="139" t="s">
        <v>153</v>
      </c>
      <c r="T32" s="144"/>
      <c r="U32" s="144"/>
      <c r="V32" s="144"/>
      <c r="W32" s="144"/>
      <c r="X32" s="144"/>
      <c r="Y32" s="139"/>
      <c r="Z32" s="144"/>
      <c r="AA32" s="145"/>
      <c r="AB32" s="145"/>
      <c r="AC32" s="145"/>
      <c r="AD32" s="145"/>
      <c r="AE32" s="145"/>
      <c r="AF32" s="145"/>
      <c r="AG32" s="145"/>
      <c r="AH32" s="145"/>
      <c r="AI32" s="145"/>
      <c r="AJ32" s="146"/>
      <c r="AK32" s="146"/>
      <c r="AL32" s="146"/>
      <c r="AM32" s="146"/>
      <c r="AN32" s="146"/>
      <c r="AO32" s="146"/>
      <c r="AP32" s="146"/>
      <c r="AQ32" s="146"/>
      <c r="AR32" s="146"/>
      <c r="AS32" s="146"/>
      <c r="AT32" s="146"/>
      <c r="AU32" s="146"/>
      <c r="AV32" s="146"/>
      <c r="AW32" s="146"/>
    </row>
    <row r="33" ht="22.5" customHeight="1">
      <c r="A33" s="138" t="s">
        <v>224</v>
      </c>
      <c r="B33" s="139"/>
      <c r="C33" s="139" t="s">
        <v>106</v>
      </c>
      <c r="D33" s="139" t="s">
        <v>106</v>
      </c>
      <c r="E33" s="139" t="s">
        <v>106</v>
      </c>
      <c r="F33" s="139" t="s">
        <v>106</v>
      </c>
      <c r="G33" s="139"/>
      <c r="H33" s="139"/>
      <c r="I33" s="139" t="s">
        <v>106</v>
      </c>
      <c r="J33" s="149" t="s">
        <v>106</v>
      </c>
      <c r="K33" s="140"/>
      <c r="L33" s="141">
        <f t="array" ref="L33">SUM(IF( 'Individual Stats'!O33:AW33="", 0, IFERROR( VLOOKUP( 'Individual Stats'!O33:AW33, 'Accepted Drops'!$B$84:$R$328, 17, FALSE ), 0 ) ))</f>
        <v>1.75</v>
      </c>
      <c r="M33" s="142">
        <f t="shared" si="1"/>
        <v>2</v>
      </c>
      <c r="N33" s="147">
        <f t="array" ref="N33">SUM(IFERROR(VLOOKUP('Tradeable Drops'!B33:AF33, {'Accepted Drops'!$AG$83:$AG$330,'Accepted Drops'!$AC$83:$AC$330}, 2, 0),0))</f>
        <v>4694331</v>
      </c>
      <c r="O33" s="139" t="s">
        <v>166</v>
      </c>
      <c r="P33" s="139" t="s">
        <v>225</v>
      </c>
      <c r="Q33" s="139"/>
      <c r="R33" s="139"/>
      <c r="S33" s="148"/>
      <c r="T33" s="145"/>
      <c r="U33" s="145"/>
      <c r="V33" s="145"/>
      <c r="W33" s="145"/>
      <c r="X33" s="145"/>
      <c r="Y33" s="148"/>
      <c r="Z33" s="145"/>
      <c r="AA33" s="145"/>
      <c r="AB33" s="145"/>
      <c r="AC33" s="145"/>
      <c r="AD33" s="145"/>
      <c r="AE33" s="145"/>
      <c r="AF33" s="145"/>
      <c r="AG33" s="145"/>
      <c r="AH33" s="145"/>
      <c r="AI33" s="145"/>
      <c r="AJ33" s="146"/>
      <c r="AK33" s="146"/>
      <c r="AL33" s="146"/>
      <c r="AM33" s="146"/>
      <c r="AN33" s="146"/>
      <c r="AO33" s="146"/>
      <c r="AP33" s="146"/>
      <c r="AQ33" s="146"/>
      <c r="AR33" s="146"/>
      <c r="AS33" s="146"/>
      <c r="AT33" s="146"/>
      <c r="AU33" s="146"/>
      <c r="AV33" s="146"/>
      <c r="AW33" s="146"/>
    </row>
    <row r="34" ht="22.5" customHeight="1">
      <c r="A34" s="138" t="s">
        <v>226</v>
      </c>
      <c r="B34" s="139" t="s">
        <v>106</v>
      </c>
      <c r="C34" s="139" t="s">
        <v>106</v>
      </c>
      <c r="D34" s="139" t="s">
        <v>106</v>
      </c>
      <c r="E34" s="139" t="s">
        <v>106</v>
      </c>
      <c r="F34" s="139" t="s">
        <v>106</v>
      </c>
      <c r="G34" s="139"/>
      <c r="H34" s="139"/>
      <c r="I34" s="139" t="s">
        <v>106</v>
      </c>
      <c r="J34" s="149" t="s">
        <v>106</v>
      </c>
      <c r="K34" s="149" t="s">
        <v>106</v>
      </c>
      <c r="L34" s="141">
        <f t="array" ref="L34">SUM(IF( 'Individual Stats'!O34:AW34="", 0, IFERROR( VLOOKUP( 'Individual Stats'!O34:AW34, 'Accepted Drops'!$B$84:$R$328, 17, FALSE ), 0 ) ))</f>
        <v>8.458333333</v>
      </c>
      <c r="M34" s="142">
        <f t="shared" si="1"/>
        <v>8</v>
      </c>
      <c r="N34" s="147">
        <f t="array" ref="N34">SUM(IFERROR(VLOOKUP('Tradeable Drops'!B34:AF34, {'Accepted Drops'!$AG$83:$AG$330,'Accepted Drops'!$AC$83:$AC$330}, 2, 0),0))</f>
        <v>1755568</v>
      </c>
      <c r="O34" s="139" t="s">
        <v>193</v>
      </c>
      <c r="P34" s="139" t="s">
        <v>195</v>
      </c>
      <c r="Q34" s="139" t="s">
        <v>227</v>
      </c>
      <c r="R34" s="139" t="s">
        <v>116</v>
      </c>
      <c r="S34" s="139" t="s">
        <v>118</v>
      </c>
      <c r="T34" s="144" t="s">
        <v>107</v>
      </c>
      <c r="U34" s="144" t="s">
        <v>228</v>
      </c>
      <c r="V34" s="144" t="s">
        <v>174</v>
      </c>
      <c r="W34" s="145"/>
      <c r="X34" s="145"/>
      <c r="Y34" s="148"/>
      <c r="Z34" s="145"/>
      <c r="AA34" s="145"/>
      <c r="AB34" s="145"/>
      <c r="AC34" s="145"/>
      <c r="AD34" s="145"/>
      <c r="AE34" s="145"/>
      <c r="AF34" s="145"/>
      <c r="AG34" s="145"/>
      <c r="AH34" s="145"/>
      <c r="AI34" s="145"/>
      <c r="AJ34" s="146"/>
      <c r="AK34" s="146"/>
      <c r="AL34" s="146"/>
      <c r="AM34" s="146"/>
      <c r="AN34" s="146"/>
      <c r="AO34" s="146"/>
      <c r="AP34" s="146"/>
      <c r="AQ34" s="146"/>
      <c r="AR34" s="146"/>
      <c r="AS34" s="146"/>
      <c r="AT34" s="146"/>
      <c r="AU34" s="146"/>
      <c r="AV34" s="146"/>
      <c r="AW34" s="146"/>
    </row>
    <row r="35" ht="22.5" customHeight="1">
      <c r="A35" s="138" t="s">
        <v>229</v>
      </c>
      <c r="B35" s="139" t="s">
        <v>106</v>
      </c>
      <c r="C35" s="139"/>
      <c r="D35" s="139"/>
      <c r="E35" s="139" t="s">
        <v>106</v>
      </c>
      <c r="F35" s="139"/>
      <c r="G35" s="139"/>
      <c r="H35" s="139"/>
      <c r="I35" s="139"/>
      <c r="J35" s="140"/>
      <c r="K35" s="140"/>
      <c r="L35" s="141">
        <f t="array" ref="L35">SUM(IF( 'Individual Stats'!O35:AW35="", 0, IFERROR( VLOOKUP( 'Individual Stats'!O35:AW35, 'Accepted Drops'!$B$84:$R$328, 17, FALSE ), 0 ) ))</f>
        <v>1.25</v>
      </c>
      <c r="M35" s="142">
        <f t="shared" si="1"/>
        <v>2</v>
      </c>
      <c r="N35" s="143">
        <f t="array" ref="N35">SUM(IFERROR(VLOOKUP('Tradeable Drops'!B35:AF35, {'Accepted Drops'!$AG$83:$AG$330,'Accepted Drops'!$AC$83:$AC$330}, 2, 0),0))</f>
        <v>9868225</v>
      </c>
      <c r="O35" s="139" t="s">
        <v>230</v>
      </c>
      <c r="P35" s="139" t="s">
        <v>230</v>
      </c>
      <c r="Q35" s="139"/>
      <c r="R35" s="139"/>
      <c r="S35" s="139"/>
      <c r="T35" s="144"/>
      <c r="U35" s="144"/>
      <c r="V35" s="144"/>
      <c r="W35" s="144"/>
      <c r="X35" s="144"/>
      <c r="Y35" s="139"/>
      <c r="Z35" s="144"/>
      <c r="AA35" s="145"/>
      <c r="AB35" s="145"/>
      <c r="AC35" s="145"/>
      <c r="AD35" s="145"/>
      <c r="AE35" s="145"/>
      <c r="AF35" s="145"/>
      <c r="AG35" s="145"/>
      <c r="AH35" s="145"/>
      <c r="AI35" s="145"/>
      <c r="AJ35" s="146"/>
      <c r="AK35" s="146"/>
      <c r="AL35" s="146"/>
      <c r="AM35" s="146"/>
      <c r="AN35" s="146"/>
      <c r="AO35" s="146"/>
      <c r="AP35" s="146"/>
      <c r="AQ35" s="146"/>
      <c r="AR35" s="146"/>
      <c r="AS35" s="146"/>
      <c r="AT35" s="146"/>
      <c r="AU35" s="146"/>
      <c r="AV35" s="146"/>
      <c r="AW35" s="146"/>
    </row>
    <row r="36" ht="22.5" customHeight="1">
      <c r="A36" s="138" t="s">
        <v>231</v>
      </c>
      <c r="B36" s="139"/>
      <c r="C36" s="139"/>
      <c r="D36" s="139" t="s">
        <v>106</v>
      </c>
      <c r="E36" s="139"/>
      <c r="F36" s="139"/>
      <c r="G36" s="139"/>
      <c r="H36" s="139"/>
      <c r="I36" s="139"/>
      <c r="J36" s="154"/>
      <c r="K36" s="154"/>
      <c r="L36" s="141">
        <f t="array" ref="L36">SUM(IF( 'Individual Stats'!O36:AW36="", 0, IFERROR( VLOOKUP( 'Individual Stats'!O36:AW36, 'Accepted Drops'!$B$84:$R$328, 17, FALSE ), 0 ) ))</f>
        <v>11.66666667</v>
      </c>
      <c r="M36" s="142">
        <f t="shared" si="1"/>
        <v>7</v>
      </c>
      <c r="N36" s="155">
        <f t="array" ref="N36">SUM(IFERROR(VLOOKUP('Tradeable Drops'!B36:AF36, {'Accepted Drops'!$AG$83:$AG$330,'Accepted Drops'!$AC$83:$AC$330}, 2, 0),0))</f>
        <v>17085415</v>
      </c>
      <c r="O36" s="139" t="s">
        <v>199</v>
      </c>
      <c r="P36" s="139" t="s">
        <v>217</v>
      </c>
      <c r="Q36" s="139" t="s">
        <v>103</v>
      </c>
      <c r="R36" s="139" t="s">
        <v>203</v>
      </c>
      <c r="S36" s="139" t="s">
        <v>137</v>
      </c>
      <c r="T36" s="144" t="s">
        <v>137</v>
      </c>
      <c r="U36" s="144" t="s">
        <v>155</v>
      </c>
      <c r="V36" s="145"/>
      <c r="W36" s="145"/>
      <c r="X36" s="145"/>
      <c r="Y36" s="148"/>
      <c r="Z36" s="145"/>
      <c r="AA36" s="145"/>
      <c r="AB36" s="145"/>
      <c r="AC36" s="145"/>
      <c r="AD36" s="145"/>
      <c r="AE36" s="145"/>
      <c r="AF36" s="145"/>
      <c r="AG36" s="145"/>
      <c r="AH36" s="145"/>
      <c r="AI36" s="145"/>
      <c r="AJ36" s="146"/>
      <c r="AK36" s="146"/>
      <c r="AL36" s="146"/>
      <c r="AM36" s="146"/>
      <c r="AN36" s="146"/>
      <c r="AO36" s="146"/>
      <c r="AP36" s="146"/>
      <c r="AQ36" s="146"/>
      <c r="AR36" s="146"/>
      <c r="AS36" s="146"/>
      <c r="AT36" s="146"/>
      <c r="AU36" s="146"/>
      <c r="AV36" s="146"/>
      <c r="AW36" s="146"/>
    </row>
    <row r="37">
      <c r="A37" s="156"/>
      <c r="B37" s="157"/>
      <c r="C37" s="19"/>
      <c r="D37" s="19"/>
      <c r="E37" s="19"/>
      <c r="F37" s="19"/>
      <c r="G37" s="19"/>
      <c r="H37" s="19"/>
      <c r="I37" s="19"/>
      <c r="J37" s="19"/>
      <c r="K37" s="19"/>
      <c r="L37" s="158" t="str">
        <f>"Points: "&amp;ROUND(SUM(L3:L36),1)</f>
        <v>Points: 424</v>
      </c>
      <c r="M37" s="159"/>
      <c r="N37" s="160" t="str">
        <f>LET(v, SUM(N4:N36), "Total GP: "&amp;IF(v&lt;1000000, TEXT(v/1000,"0.00")&amp;"k", IF(v&lt;1000000000, TEXT(v/1000000,"0.00")&amp;"m", TEXT(v/1000000000,"0.00")&amp;"b")))</f>
        <v>Total GP: 1.03b</v>
      </c>
      <c r="O37" s="161"/>
    </row>
  </sheetData>
  <mergeCells count="6">
    <mergeCell ref="B1:K1"/>
    <mergeCell ref="L1:M1"/>
    <mergeCell ref="O1:AM1"/>
    <mergeCell ref="B37:K37"/>
    <mergeCell ref="N37:O37"/>
    <mergeCell ref="P37:AW37"/>
  </mergeCells>
  <conditionalFormatting sqref="T3">
    <cfRule type="notContainsBlanks" dxfId="5" priority="1">
      <formula>LEN(TRIM(T3))&gt;0</formula>
    </cfRule>
  </conditionalFormatting>
  <conditionalFormatting sqref="L3:L36">
    <cfRule type="cellIs" dxfId="6" priority="2" operator="equal">
      <formula>0</formula>
    </cfRule>
  </conditionalFormatting>
  <conditionalFormatting sqref="N3:N36">
    <cfRule type="cellIs" dxfId="7" priority="3" operator="greaterThan">
      <formula>999999</formula>
    </cfRule>
  </conditionalFormatting>
  <dataValidations>
    <dataValidation type="list" allowBlank="1" sqref="C3:C36 E3:K36">
      <formula1>"✅,❌"</formula1>
    </dataValidation>
    <dataValidation type="list" allowBlank="1" sqref="B3:B36 D3:D36">
      <formula1>"✅,❌"</formula1>
    </dataValidation>
    <dataValidation type="custom" allowBlank="1" showDropDown="1" sqref="L3:L36">
      <formula1>AND(ISNUMBER(L3),(NOT(OR(NOT(ISERROR(DATEVALUE(L3))), AND(ISNUMBER(L3), LEFT(CELL("format", L3))="D")))))</formula1>
    </dataValidation>
    <dataValidation type="list" allowBlank="1" sqref="O3:AW36">
      <formula1>Tiles</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4" width="3.25"/>
  </cols>
  <sheetData>
    <row r="1" ht="18.75" customHeigh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row>
    <row r="2" ht="18.75" customHeight="1">
      <c r="A2" s="2"/>
      <c r="B2" s="4"/>
      <c r="C2" s="24"/>
      <c r="D2" s="24"/>
      <c r="E2" s="24"/>
      <c r="F2" s="24"/>
      <c r="G2" s="24"/>
      <c r="H2" s="24"/>
      <c r="I2" s="24"/>
      <c r="J2" s="24"/>
      <c r="K2" s="24"/>
      <c r="L2" s="24"/>
      <c r="M2" s="24"/>
      <c r="N2" s="24"/>
      <c r="O2" s="24"/>
      <c r="P2" s="24"/>
      <c r="Q2" s="73"/>
      <c r="R2" s="24"/>
      <c r="S2" s="24"/>
      <c r="T2" s="24"/>
      <c r="U2" s="24"/>
      <c r="V2" s="73"/>
      <c r="W2" s="25"/>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4"/>
      <c r="BL2" s="2"/>
    </row>
    <row r="3" ht="18.75" customHeight="1">
      <c r="A3" s="2"/>
      <c r="B3" s="27"/>
      <c r="C3" s="162" t="s">
        <v>2</v>
      </c>
      <c r="D3" s="163"/>
      <c r="E3" s="163"/>
      <c r="F3" s="163"/>
      <c r="G3" s="163"/>
      <c r="H3" s="163"/>
      <c r="I3" s="163"/>
      <c r="J3" s="164">
        <f>SUM(G5*K5,G6*K6,G7*K7)</f>
        <v>6</v>
      </c>
      <c r="K3" s="165" t="s">
        <v>232</v>
      </c>
      <c r="L3" s="165">
        <v>6.0</v>
      </c>
      <c r="M3" s="162" t="s">
        <v>3</v>
      </c>
      <c r="N3" s="163"/>
      <c r="O3" s="163"/>
      <c r="P3" s="163"/>
      <c r="Q3" s="163"/>
      <c r="R3" s="163"/>
      <c r="S3" s="163"/>
      <c r="T3" s="164">
        <f>sum(Q5*U5,Q6*U6,Q7*U7,Q8*U8)</f>
        <v>9</v>
      </c>
      <c r="U3" s="165" t="s">
        <v>232</v>
      </c>
      <c r="V3" s="165">
        <v>8.0</v>
      </c>
      <c r="W3" s="166" t="s">
        <v>4</v>
      </c>
      <c r="X3" s="163"/>
      <c r="Y3" s="163"/>
      <c r="Z3" s="163"/>
      <c r="AA3" s="163"/>
      <c r="AB3" s="163"/>
      <c r="AC3" s="167"/>
      <c r="AD3" s="168">
        <f>SUM(AA5*AE5,AA6*AE6,AA7*AE7,AA8*AE8,AA9*AE9,AA10*AE10,AA11*AE11)</f>
        <v>8</v>
      </c>
      <c r="AE3" s="168" t="s">
        <v>232</v>
      </c>
      <c r="AF3" s="169">
        <v>8.0</v>
      </c>
      <c r="AG3" s="166" t="s">
        <v>5</v>
      </c>
      <c r="AH3" s="163"/>
      <c r="AI3" s="163"/>
      <c r="AJ3" s="163"/>
      <c r="AK3" s="163"/>
      <c r="AL3" s="163"/>
      <c r="AM3" s="167"/>
      <c r="AN3" s="168">
        <f>sum(AK5*AO5,AK6*AO6)</f>
        <v>3</v>
      </c>
      <c r="AO3" s="168" t="s">
        <v>232</v>
      </c>
      <c r="AP3" s="169">
        <v>3.0</v>
      </c>
      <c r="AQ3" s="170" t="s">
        <v>6</v>
      </c>
      <c r="AR3" s="163"/>
      <c r="AS3" s="163"/>
      <c r="AT3" s="163"/>
      <c r="AU3" s="163"/>
      <c r="AV3" s="163"/>
      <c r="AW3" s="163"/>
      <c r="AX3" s="171">
        <f>sum(AU5*AY5,AU6*AY6,AU7*AY7,AU8*AY8,AU9*AY9,AU10*AY10)</f>
        <v>6</v>
      </c>
      <c r="AY3" s="172" t="s">
        <v>232</v>
      </c>
      <c r="AZ3" s="173">
        <v>6.0</v>
      </c>
      <c r="BA3" s="170" t="s">
        <v>7</v>
      </c>
      <c r="BB3" s="163"/>
      <c r="BC3" s="163"/>
      <c r="BD3" s="163"/>
      <c r="BE3" s="163"/>
      <c r="BF3" s="163"/>
      <c r="BG3" s="163"/>
      <c r="BH3" s="171">
        <f>SUM(BE5*BI5, BE6*BI6, BE7*BI7, BE8*BI8, BE9*BI9, BE10*BI10, BE11*BI11, BE12*BI12, BE13*BI13, BE14*BI14, BE15*BI15, BE16*BI16, BE17*BI17)</f>
        <v>4</v>
      </c>
      <c r="BI3" s="172" t="s">
        <v>232</v>
      </c>
      <c r="BJ3" s="173">
        <v>4.0</v>
      </c>
      <c r="BK3" s="17"/>
      <c r="BL3" s="2"/>
    </row>
    <row r="4" ht="18.75" customHeight="1">
      <c r="A4" s="2"/>
      <c r="B4" s="27"/>
      <c r="C4" s="174" t="s">
        <v>233</v>
      </c>
      <c r="D4" s="161"/>
      <c r="E4" s="161"/>
      <c r="F4" s="161"/>
      <c r="G4" s="175"/>
      <c r="H4" s="176" t="s">
        <v>234</v>
      </c>
      <c r="I4" s="161"/>
      <c r="J4" s="175"/>
      <c r="K4" s="176" t="s">
        <v>235</v>
      </c>
      <c r="L4" s="177"/>
      <c r="M4" s="174" t="s">
        <v>233</v>
      </c>
      <c r="N4" s="161"/>
      <c r="O4" s="161"/>
      <c r="P4" s="161"/>
      <c r="Q4" s="175"/>
      <c r="R4" s="176" t="s">
        <v>234</v>
      </c>
      <c r="S4" s="161"/>
      <c r="T4" s="175"/>
      <c r="U4" s="176" t="s">
        <v>235</v>
      </c>
      <c r="V4" s="177"/>
      <c r="W4" s="174" t="s">
        <v>233</v>
      </c>
      <c r="X4" s="161"/>
      <c r="Y4" s="161"/>
      <c r="Z4" s="161"/>
      <c r="AA4" s="175"/>
      <c r="AB4" s="176" t="s">
        <v>234</v>
      </c>
      <c r="AC4" s="161"/>
      <c r="AD4" s="175"/>
      <c r="AE4" s="176" t="s">
        <v>235</v>
      </c>
      <c r="AF4" s="177"/>
      <c r="AG4" s="174" t="s">
        <v>233</v>
      </c>
      <c r="AH4" s="161"/>
      <c r="AI4" s="161"/>
      <c r="AJ4" s="161"/>
      <c r="AK4" s="175"/>
      <c r="AL4" s="176" t="s">
        <v>234</v>
      </c>
      <c r="AM4" s="161"/>
      <c r="AN4" s="175"/>
      <c r="AO4" s="176" t="s">
        <v>235</v>
      </c>
      <c r="AP4" s="177"/>
      <c r="AQ4" s="178" t="s">
        <v>233</v>
      </c>
      <c r="AR4" s="161"/>
      <c r="AS4" s="161"/>
      <c r="AT4" s="161"/>
      <c r="AU4" s="175"/>
      <c r="AV4" s="176" t="s">
        <v>234</v>
      </c>
      <c r="AW4" s="161"/>
      <c r="AX4" s="175"/>
      <c r="AY4" s="176" t="s">
        <v>235</v>
      </c>
      <c r="AZ4" s="179"/>
      <c r="BA4" s="174" t="s">
        <v>233</v>
      </c>
      <c r="BB4" s="161"/>
      <c r="BC4" s="161"/>
      <c r="BD4" s="161"/>
      <c r="BE4" s="175"/>
      <c r="BF4" s="176" t="s">
        <v>234</v>
      </c>
      <c r="BG4" s="161"/>
      <c r="BH4" s="175"/>
      <c r="BI4" s="176" t="s">
        <v>235</v>
      </c>
      <c r="BJ4" s="177"/>
      <c r="BK4" s="17"/>
      <c r="BL4" s="2"/>
    </row>
    <row r="5" ht="18.75" customHeight="1">
      <c r="A5" s="2"/>
      <c r="B5" s="27"/>
      <c r="C5" s="180" t="s">
        <v>236</v>
      </c>
      <c r="G5" s="181">
        <f>COUNTIF('Individual Stats'!$O$3:$AW$36, "*" &amp; C5 &amp; "*")</f>
        <v>6</v>
      </c>
      <c r="H5" s="182" t="s">
        <v>237</v>
      </c>
      <c r="J5" s="183"/>
      <c r="K5" s="182">
        <v>1.0</v>
      </c>
      <c r="L5" s="184"/>
      <c r="M5" s="180" t="s">
        <v>238</v>
      </c>
      <c r="Q5" s="181">
        <f>COUNTIF('Individual Stats'!$O$3:$AW$36, "*" &amp;M5  &amp; "*")</f>
        <v>3</v>
      </c>
      <c r="R5" s="182" t="s">
        <v>239</v>
      </c>
      <c r="T5" s="183"/>
      <c r="U5" s="182">
        <v>1.0</v>
      </c>
      <c r="V5" s="184"/>
      <c r="W5" s="180" t="s">
        <v>240</v>
      </c>
      <c r="AA5" s="181">
        <f>COUNTIF('Individual Stats'!$O$3:$AW$36, "*" &amp;W5  &amp; "*")</f>
        <v>3</v>
      </c>
      <c r="AB5" s="182" t="s">
        <v>241</v>
      </c>
      <c r="AD5" s="183"/>
      <c r="AE5" s="182">
        <v>1.0</v>
      </c>
      <c r="AF5" s="184"/>
      <c r="AG5" s="180" t="s">
        <v>242</v>
      </c>
      <c r="AK5" s="181">
        <f>COUNTIF('Individual Stats'!$O$3:$AW$36, "*" &amp;AG5  &amp; "*")</f>
        <v>2</v>
      </c>
      <c r="AL5" s="182" t="s">
        <v>243</v>
      </c>
      <c r="AN5" s="183"/>
      <c r="AO5" s="182">
        <v>1.0</v>
      </c>
      <c r="AP5" s="184"/>
      <c r="AQ5" s="185" t="s">
        <v>244</v>
      </c>
      <c r="AU5" s="181">
        <f>COUNTIF('Individual Stats'!$O$3:$AW$36, "*" &amp;AQ5  &amp; "*")</f>
        <v>0</v>
      </c>
      <c r="AV5" s="182" t="s">
        <v>245</v>
      </c>
      <c r="AX5" s="183"/>
      <c r="AY5" s="182">
        <v>1.0</v>
      </c>
      <c r="AZ5" s="35"/>
      <c r="BA5" s="186" t="s">
        <v>246</v>
      </c>
      <c r="BE5" s="181">
        <f>COUNTIF('Individual Stats'!$O$3:$AW$36, "*" &amp;BA5  &amp; "*")</f>
        <v>2</v>
      </c>
      <c r="BF5" s="187">
        <v>46113.0</v>
      </c>
      <c r="BH5" s="183"/>
      <c r="BI5" s="182">
        <v>1.0</v>
      </c>
      <c r="BJ5" s="184"/>
      <c r="BK5" s="17"/>
      <c r="BL5" s="2"/>
    </row>
    <row r="6" ht="18.75" customHeight="1">
      <c r="A6" s="2"/>
      <c r="B6" s="27"/>
      <c r="C6" s="188" t="s">
        <v>247</v>
      </c>
      <c r="G6" s="189">
        <f>COUNTIF('Individual Stats'!$O$3:$AW$36, "*" &amp; C6 &amp; "*")</f>
        <v>0</v>
      </c>
      <c r="H6" s="190" t="s">
        <v>248</v>
      </c>
      <c r="J6" s="183"/>
      <c r="K6" s="191">
        <v>2.0</v>
      </c>
      <c r="L6" s="184"/>
      <c r="M6" s="180" t="s">
        <v>249</v>
      </c>
      <c r="Q6" s="181">
        <f>COUNTIF('Individual Stats'!$O$3:$AW$36, "*" &amp;M6  &amp; "*")</f>
        <v>3</v>
      </c>
      <c r="R6" s="182" t="s">
        <v>250</v>
      </c>
      <c r="T6" s="183"/>
      <c r="U6" s="182">
        <v>2.0</v>
      </c>
      <c r="V6" s="184"/>
      <c r="W6" s="180" t="s">
        <v>251</v>
      </c>
      <c r="AA6" s="181">
        <f>COUNTIF('Individual Stats'!$O$3:$AW$36, "*" &amp;W6  &amp; "*")</f>
        <v>1</v>
      </c>
      <c r="AB6" s="182" t="s">
        <v>252</v>
      </c>
      <c r="AD6" s="183"/>
      <c r="AE6" s="182">
        <v>1.0</v>
      </c>
      <c r="AF6" s="184"/>
      <c r="AG6" s="180" t="s">
        <v>253</v>
      </c>
      <c r="AK6" s="181">
        <f>COUNTIF('Individual Stats'!$O$3:$AW$36, "*" &amp;AG6  &amp; "*")</f>
        <v>1</v>
      </c>
      <c r="AL6" s="182" t="s">
        <v>254</v>
      </c>
      <c r="AN6" s="183"/>
      <c r="AO6" s="182">
        <v>1.0</v>
      </c>
      <c r="AP6" s="184"/>
      <c r="AQ6" s="185" t="s">
        <v>255</v>
      </c>
      <c r="AU6" s="181">
        <f>COUNTIF('Individual Stats'!$O$3:$AW$36, "*" &amp;AQ6  &amp; "*")</f>
        <v>0</v>
      </c>
      <c r="AV6" s="182" t="s">
        <v>245</v>
      </c>
      <c r="AX6" s="183"/>
      <c r="AY6" s="182">
        <v>1.0</v>
      </c>
      <c r="AZ6" s="35"/>
      <c r="BA6" s="186" t="s">
        <v>256</v>
      </c>
      <c r="BE6" s="181">
        <f>COUNTIF('Individual Stats'!$O$3:$AW$36, "*" &amp;BA6  &amp; "*")</f>
        <v>0</v>
      </c>
      <c r="BF6" s="187">
        <v>46113.0</v>
      </c>
      <c r="BH6" s="183"/>
      <c r="BI6" s="182">
        <v>1.0</v>
      </c>
      <c r="BJ6" s="184"/>
      <c r="BK6" s="17"/>
      <c r="BL6" s="2"/>
    </row>
    <row r="7" ht="18.75" customHeight="1">
      <c r="A7" s="2"/>
      <c r="B7" s="27"/>
      <c r="C7" s="192" t="s">
        <v>257</v>
      </c>
      <c r="D7" s="22"/>
      <c r="E7" s="22"/>
      <c r="F7" s="22"/>
      <c r="G7" s="193">
        <f>COUNTIF('Individual Stats'!$O$3:$AW$36, "*" &amp; C7 &amp; "*")</f>
        <v>0</v>
      </c>
      <c r="H7" s="194">
        <v>36526.0</v>
      </c>
      <c r="I7" s="22"/>
      <c r="J7" s="23"/>
      <c r="K7" s="195">
        <v>3.0</v>
      </c>
      <c r="L7" s="196"/>
      <c r="M7" s="186" t="s">
        <v>258</v>
      </c>
      <c r="Q7" s="181">
        <f>COUNTIF('Individual Stats'!$O$3:$AW$36, "*" &amp;M7  &amp; "*")</f>
        <v>0</v>
      </c>
      <c r="R7" s="182" t="s">
        <v>259</v>
      </c>
      <c r="T7" s="183"/>
      <c r="U7" s="182">
        <v>2.0</v>
      </c>
      <c r="V7" s="184"/>
      <c r="W7" s="180" t="s">
        <v>260</v>
      </c>
      <c r="AA7" s="181">
        <f>COUNTIF('Individual Stats'!$O$3:$AW$36, "*" &amp;W7  &amp; "*")</f>
        <v>2</v>
      </c>
      <c r="AB7" s="182" t="s">
        <v>252</v>
      </c>
      <c r="AD7" s="183"/>
      <c r="AE7" s="182">
        <v>1.0</v>
      </c>
      <c r="AF7" s="184"/>
      <c r="AG7" s="197" t="s">
        <v>261</v>
      </c>
      <c r="AH7" s="198"/>
      <c r="AI7" s="199">
        <f>AP3/(1/500*AO5 + 1/501*AO6)</f>
        <v>750.7492507</v>
      </c>
      <c r="AJ7" s="200"/>
      <c r="AK7" s="198"/>
      <c r="AL7" s="201" t="s">
        <v>262</v>
      </c>
      <c r="AM7" s="198"/>
      <c r="AN7" s="202">
        <f>AI7/50</f>
        <v>15.01498501</v>
      </c>
      <c r="AO7" s="200"/>
      <c r="AP7" s="203"/>
      <c r="AQ7" s="185" t="s">
        <v>263</v>
      </c>
      <c r="AU7" s="181">
        <f>COUNTIF('Individual Stats'!$O$3:$AW$36, "*" &amp;AQ7  &amp; "*")</f>
        <v>3</v>
      </c>
      <c r="AV7" s="182" t="s">
        <v>245</v>
      </c>
      <c r="AX7" s="183"/>
      <c r="AY7" s="182">
        <v>1.0</v>
      </c>
      <c r="AZ7" s="35"/>
      <c r="BA7" s="186" t="s">
        <v>264</v>
      </c>
      <c r="BE7" s="181">
        <f>COUNTIF('Individual Stats'!$O$3:$AW$36, "*" &amp;BA7  &amp; "*")</f>
        <v>0</v>
      </c>
      <c r="BF7" s="182" t="s">
        <v>265</v>
      </c>
      <c r="BH7" s="183"/>
      <c r="BI7" s="182">
        <v>2.0</v>
      </c>
      <c r="BJ7" s="184"/>
      <c r="BK7" s="17"/>
      <c r="BL7" s="2"/>
    </row>
    <row r="8" ht="18.75" customHeight="1">
      <c r="A8" s="2"/>
      <c r="B8" s="27"/>
      <c r="C8" s="204" t="s">
        <v>261</v>
      </c>
      <c r="D8" s="205"/>
      <c r="E8" s="206">
        <f>L3/(1/127*K5 + 1/1000*K6 + 1/2000*K7)</f>
        <v>527.5181724</v>
      </c>
      <c r="F8" s="207"/>
      <c r="G8" s="205"/>
      <c r="H8" s="208" t="s">
        <v>262</v>
      </c>
      <c r="I8" s="205"/>
      <c r="J8" s="209">
        <f>E8/40</f>
        <v>13.18795431</v>
      </c>
      <c r="K8" s="207"/>
      <c r="L8" s="210"/>
      <c r="M8" s="192" t="s">
        <v>266</v>
      </c>
      <c r="N8" s="22"/>
      <c r="O8" s="22"/>
      <c r="P8" s="22"/>
      <c r="Q8" s="193">
        <f>COUNTIF('Individual Stats'!$O$3:$AW$36, "*" &amp;M8  &amp; "*")</f>
        <v>0</v>
      </c>
      <c r="R8" s="195" t="s">
        <v>267</v>
      </c>
      <c r="S8" s="22"/>
      <c r="T8" s="23"/>
      <c r="U8" s="195">
        <v>3.0</v>
      </c>
      <c r="V8" s="196"/>
      <c r="W8" s="180" t="s">
        <v>268</v>
      </c>
      <c r="AA8" s="181">
        <f>COUNTIF('Individual Stats'!$O$3:$AW$36, "*" &amp;W8  &amp; "*")</f>
        <v>0</v>
      </c>
      <c r="AB8" s="182" t="s">
        <v>269</v>
      </c>
      <c r="AD8" s="183"/>
      <c r="AE8" s="182">
        <v>2.0</v>
      </c>
      <c r="AF8" s="184"/>
      <c r="AG8" s="170" t="s">
        <v>11</v>
      </c>
      <c r="AH8" s="163"/>
      <c r="AI8" s="163"/>
      <c r="AJ8" s="163"/>
      <c r="AK8" s="163"/>
      <c r="AL8" s="163"/>
      <c r="AM8" s="163"/>
      <c r="AN8" s="171">
        <f>sum(AK10*AO10,AK11*AO11,AK12*AO12,AK13*AO13,AK14*AO14,AK15*AO15,AK16*AO16,AK17*AO17,AK18*AO18)</f>
        <v>0</v>
      </c>
      <c r="AO8" s="172" t="s">
        <v>232</v>
      </c>
      <c r="AP8" s="173">
        <v>4.0</v>
      </c>
      <c r="AQ8" s="185" t="s">
        <v>270</v>
      </c>
      <c r="AU8" s="181">
        <f>COUNTIF('Individual Stats'!$O$3:$AW$36, "*" &amp;AQ8  &amp; "*")</f>
        <v>3</v>
      </c>
      <c r="AV8" s="182" t="s">
        <v>245</v>
      </c>
      <c r="AX8" s="183"/>
      <c r="AY8" s="182">
        <v>1.0</v>
      </c>
      <c r="AZ8" s="35"/>
      <c r="BA8" s="186" t="s">
        <v>271</v>
      </c>
      <c r="BE8" s="181">
        <f>COUNTIF('Individual Stats'!$O$3:$AW$36, "*" &amp;BA8  &amp; "*")</f>
        <v>0</v>
      </c>
      <c r="BF8" s="182" t="s">
        <v>265</v>
      </c>
      <c r="BH8" s="183"/>
      <c r="BI8" s="182">
        <v>2.0</v>
      </c>
      <c r="BJ8" s="184"/>
      <c r="BK8" s="17"/>
      <c r="BL8" s="2"/>
    </row>
    <row r="9" ht="18.75" customHeight="1">
      <c r="A9" s="2"/>
      <c r="B9" s="27"/>
      <c r="C9" s="166" t="s">
        <v>8</v>
      </c>
      <c r="D9" s="163"/>
      <c r="E9" s="163"/>
      <c r="F9" s="163"/>
      <c r="G9" s="163"/>
      <c r="H9" s="163"/>
      <c r="I9" s="167"/>
      <c r="J9" s="168">
        <f>SUM(G11*K11,G12*K12,G13*K13,G14*K14,G15*K15)</f>
        <v>5</v>
      </c>
      <c r="K9" s="168" t="s">
        <v>232</v>
      </c>
      <c r="L9" s="169">
        <v>5.0</v>
      </c>
      <c r="M9" s="204" t="s">
        <v>261</v>
      </c>
      <c r="N9" s="205"/>
      <c r="O9" s="206">
        <f>V3/(1/28.64*U5 + 1/90*U6 + 1/105*U7 + 1/400*U8)</f>
        <v>95.59539168</v>
      </c>
      <c r="P9" s="207"/>
      <c r="Q9" s="205"/>
      <c r="R9" s="208" t="s">
        <v>262</v>
      </c>
      <c r="S9" s="205"/>
      <c r="T9" s="209">
        <f>O9/7</f>
        <v>13.65648453</v>
      </c>
      <c r="U9" s="207"/>
      <c r="V9" s="210"/>
      <c r="W9" s="180" t="s">
        <v>272</v>
      </c>
      <c r="AA9" s="181">
        <f>COUNTIF('Individual Stats'!$O$3:$AW$36, "*" &amp;W9  &amp; "*")</f>
        <v>1</v>
      </c>
      <c r="AB9" s="182" t="s">
        <v>243</v>
      </c>
      <c r="AD9" s="183"/>
      <c r="AE9" s="182">
        <v>2.0</v>
      </c>
      <c r="AF9" s="184"/>
      <c r="AG9" s="178" t="s">
        <v>233</v>
      </c>
      <c r="AH9" s="161"/>
      <c r="AI9" s="161"/>
      <c r="AJ9" s="161"/>
      <c r="AK9" s="175"/>
      <c r="AL9" s="176" t="s">
        <v>234</v>
      </c>
      <c r="AM9" s="161"/>
      <c r="AN9" s="175"/>
      <c r="AO9" s="176" t="s">
        <v>235</v>
      </c>
      <c r="AP9" s="179"/>
      <c r="AQ9" s="211" t="s">
        <v>273</v>
      </c>
      <c r="AU9" s="189">
        <f>COUNTIF('Individual Stats'!$O$3:$AW$36, "*" &amp;AQ9  &amp; "*")</f>
        <v>0</v>
      </c>
      <c r="AV9" s="190">
        <v>36526.0</v>
      </c>
      <c r="AX9" s="183"/>
      <c r="AY9" s="191">
        <v>2.0</v>
      </c>
      <c r="AZ9" s="35"/>
      <c r="BA9" s="186" t="s">
        <v>274</v>
      </c>
      <c r="BE9" s="181">
        <f>COUNTIF('Individual Stats'!$O$3:$AW$36, "*" &amp;BA9  &amp; "*")</f>
        <v>1</v>
      </c>
      <c r="BF9" s="187">
        <v>46143.0</v>
      </c>
      <c r="BH9" s="183"/>
      <c r="BI9" s="182">
        <v>2.0</v>
      </c>
      <c r="BJ9" s="184"/>
      <c r="BK9" s="17"/>
      <c r="BL9" s="2"/>
    </row>
    <row r="10" ht="18.75" customHeight="1">
      <c r="A10" s="2"/>
      <c r="B10" s="27"/>
      <c r="C10" s="174" t="s">
        <v>233</v>
      </c>
      <c r="D10" s="161"/>
      <c r="E10" s="161"/>
      <c r="F10" s="161"/>
      <c r="G10" s="175"/>
      <c r="H10" s="176" t="s">
        <v>234</v>
      </c>
      <c r="I10" s="161"/>
      <c r="J10" s="175"/>
      <c r="K10" s="176" t="s">
        <v>235</v>
      </c>
      <c r="L10" s="177"/>
      <c r="M10" s="170" t="s">
        <v>9</v>
      </c>
      <c r="N10" s="163"/>
      <c r="O10" s="163"/>
      <c r="P10" s="163"/>
      <c r="Q10" s="163"/>
      <c r="R10" s="163"/>
      <c r="S10" s="163"/>
      <c r="T10" s="171">
        <f>sum(Q12*U12,Q13*U13,Q14*U14)</f>
        <v>1</v>
      </c>
      <c r="U10" s="172" t="s">
        <v>232</v>
      </c>
      <c r="V10" s="173">
        <v>3.0</v>
      </c>
      <c r="W10" s="211" t="s">
        <v>275</v>
      </c>
      <c r="AA10" s="189">
        <f>COUNTIF('Individual Stats'!$O$3:$AW$36, "*" &amp;W10  &amp; "*")</f>
        <v>0</v>
      </c>
      <c r="AB10" s="190">
        <v>1132254.0</v>
      </c>
      <c r="AD10" s="183"/>
      <c r="AE10" s="191">
        <v>3.0</v>
      </c>
      <c r="AF10" s="184"/>
      <c r="AG10" s="185" t="s">
        <v>276</v>
      </c>
      <c r="AK10" s="181">
        <f>COUNTIF('Individual Stats'!$O$3:$AW$36, "*" &amp;AG10  &amp; "*")</f>
        <v>0</v>
      </c>
      <c r="AL10" s="187">
        <v>46054.0</v>
      </c>
      <c r="AN10" s="183"/>
      <c r="AO10" s="182">
        <v>1.0</v>
      </c>
      <c r="AP10" s="35"/>
      <c r="AQ10" s="211" t="s">
        <v>277</v>
      </c>
      <c r="AU10" s="189">
        <f>COUNTIF('Individual Stats'!$O$3:$AW$36, "*" &amp;AQ10  &amp; "*")</f>
        <v>0</v>
      </c>
      <c r="AV10" s="190">
        <v>401769.0</v>
      </c>
      <c r="AX10" s="183"/>
      <c r="AY10" s="191">
        <v>2.0</v>
      </c>
      <c r="AZ10" s="35"/>
      <c r="BA10" s="186" t="s">
        <v>278</v>
      </c>
      <c r="BE10" s="181">
        <f>COUNTIF('Individual Stats'!$O$3:$AW$36, "*" &amp;BA10  &amp; "*")</f>
        <v>0</v>
      </c>
      <c r="BF10" s="182" t="s">
        <v>279</v>
      </c>
      <c r="BH10" s="183"/>
      <c r="BI10" s="182">
        <v>2.0</v>
      </c>
      <c r="BJ10" s="184"/>
      <c r="BK10" s="17"/>
      <c r="BL10" s="2"/>
    </row>
    <row r="11" ht="18.75" customHeight="1">
      <c r="A11" s="2"/>
      <c r="B11" s="27"/>
      <c r="C11" s="180" t="s">
        <v>280</v>
      </c>
      <c r="G11" s="181">
        <f>COUNTIF('Individual Stats'!$O$3:$AW$36, "*" &amp;C11  &amp; "*")</f>
        <v>1</v>
      </c>
      <c r="H11" s="182" t="s">
        <v>281</v>
      </c>
      <c r="J11" s="183"/>
      <c r="K11" s="182">
        <v>1.0</v>
      </c>
      <c r="L11" s="184"/>
      <c r="M11" s="178" t="s">
        <v>233</v>
      </c>
      <c r="N11" s="161"/>
      <c r="O11" s="161"/>
      <c r="P11" s="161"/>
      <c r="Q11" s="175"/>
      <c r="R11" s="176" t="s">
        <v>234</v>
      </c>
      <c r="S11" s="161"/>
      <c r="T11" s="175"/>
      <c r="U11" s="176" t="s">
        <v>235</v>
      </c>
      <c r="V11" s="179"/>
      <c r="W11" s="188" t="s">
        <v>282</v>
      </c>
      <c r="AA11" s="189">
        <f>COUNTIF('Individual Stats'!$O$3:$AW$36, "*" &amp;W11  &amp; "*")</f>
        <v>0</v>
      </c>
      <c r="AB11" s="190">
        <v>401769.0</v>
      </c>
      <c r="AD11" s="183"/>
      <c r="AE11" s="191">
        <v>3.0</v>
      </c>
      <c r="AF11" s="184"/>
      <c r="AG11" s="185" t="s">
        <v>283</v>
      </c>
      <c r="AK11" s="181">
        <f>COUNTIF('Individual Stats'!$O$3:$AW$36, "*" &amp;AG11  &amp; "*")</f>
        <v>0</v>
      </c>
      <c r="AL11" s="187">
        <v>46296.0</v>
      </c>
      <c r="AN11" s="183"/>
      <c r="AO11" s="182">
        <v>2.0</v>
      </c>
      <c r="AP11" s="35"/>
      <c r="AQ11" s="197" t="s">
        <v>261</v>
      </c>
      <c r="AR11" s="198"/>
      <c r="AS11" s="199">
        <f>AZ3/(1/520*AY5 + 1/520*AY6 + 1/520*AY7 + 1/520*AY8 + 1/2000*AY9 + 1/3000*AY10)</f>
        <v>641.0958904</v>
      </c>
      <c r="AT11" s="200"/>
      <c r="AU11" s="198"/>
      <c r="AV11" s="201" t="s">
        <v>262</v>
      </c>
      <c r="AW11" s="198"/>
      <c r="AX11" s="202">
        <f>AS11/50</f>
        <v>12.82191781</v>
      </c>
      <c r="AY11" s="200"/>
      <c r="AZ11" s="203"/>
      <c r="BA11" s="186" t="s">
        <v>284</v>
      </c>
      <c r="BE11" s="181">
        <f>COUNTIF('Individual Stats'!$O$3:$AW$36, "*" &amp;BA11  &amp; "*")</f>
        <v>0</v>
      </c>
      <c r="BF11" s="182" t="s">
        <v>279</v>
      </c>
      <c r="BH11" s="183"/>
      <c r="BI11" s="182">
        <v>2.0</v>
      </c>
      <c r="BJ11" s="184"/>
      <c r="BK11" s="17"/>
      <c r="BL11" s="2"/>
    </row>
    <row r="12" ht="18.75" customHeight="1">
      <c r="A12" s="2"/>
      <c r="B12" s="27"/>
      <c r="C12" s="180" t="s">
        <v>285</v>
      </c>
      <c r="G12" s="181">
        <f>COUNTIF('Individual Stats'!$O$3:$AW$36, "*" &amp;C12  &amp; "*")</f>
        <v>0</v>
      </c>
      <c r="H12" s="182" t="s">
        <v>281</v>
      </c>
      <c r="J12" s="183"/>
      <c r="K12" s="182">
        <v>1.0</v>
      </c>
      <c r="L12" s="184"/>
      <c r="M12" s="185" t="s">
        <v>286</v>
      </c>
      <c r="Q12" s="181">
        <f>COUNTIF('Individual Stats'!$O$3:$AW$36, "*" &amp;M12  &amp; "*")</f>
        <v>1</v>
      </c>
      <c r="R12" s="182" t="s">
        <v>287</v>
      </c>
      <c r="T12" s="183"/>
      <c r="U12" s="182">
        <v>1.0</v>
      </c>
      <c r="V12" s="35"/>
      <c r="W12" s="197" t="s">
        <v>261</v>
      </c>
      <c r="X12" s="198"/>
      <c r="Y12" s="199">
        <f>AF3/(1/125*AE5 + 1/250*AE6 + 1/250*AE7 + 1/375*AE8 + 1/500*AE9 + 1/5000*AE10 + 1/3000*AE11)</f>
        <v>297.029703</v>
      </c>
      <c r="Z12" s="200"/>
      <c r="AA12" s="198"/>
      <c r="AB12" s="201" t="s">
        <v>262</v>
      </c>
      <c r="AC12" s="198"/>
      <c r="AD12" s="202">
        <f>Y12/24</f>
        <v>12.37623762</v>
      </c>
      <c r="AE12" s="200"/>
      <c r="AF12" s="203"/>
      <c r="AG12" s="185" t="s">
        <v>288</v>
      </c>
      <c r="AK12" s="181">
        <f>COUNTIF('Individual Stats'!$O$3:$AW$36, "*" &amp;AG12  &amp; "*")</f>
        <v>0</v>
      </c>
      <c r="AL12" s="187">
        <v>46296.0</v>
      </c>
      <c r="AN12" s="183"/>
      <c r="AO12" s="182">
        <v>2.0</v>
      </c>
      <c r="AP12" s="35"/>
      <c r="AQ12" s="166" t="s">
        <v>12</v>
      </c>
      <c r="AR12" s="163"/>
      <c r="AS12" s="163"/>
      <c r="AT12" s="163"/>
      <c r="AU12" s="163"/>
      <c r="AV12" s="163"/>
      <c r="AW12" s="167"/>
      <c r="AX12" s="168">
        <f>SUM(AU14*AY14, AU15*AY15, AU16*AY16, AU17*AY17, AU18*AY18, AU19*AY19, AU20*AY20, AU21*AY21, AU22*AY22, AU23*AY23, AU24*AY24, AU25*AY25, AU26*AY26, AU27*AY27, AU28*AY28, AU29*AY29, AU30*AY30, AU31*AY31, AU32*AY32, AU33*AY33, AU34*AY34, AU35*AY35, AU36*AY36, AU37*AY37)</f>
        <v>15</v>
      </c>
      <c r="AY12" s="168" t="s">
        <v>232</v>
      </c>
      <c r="AZ12" s="169">
        <v>15.0</v>
      </c>
      <c r="BA12" s="186" t="s">
        <v>289</v>
      </c>
      <c r="BE12" s="181">
        <f>COUNTIF('Individual Stats'!$O$3:$AW$36, "*" &amp;BA12  &amp; "*")</f>
        <v>0</v>
      </c>
      <c r="BF12" s="182" t="s">
        <v>290</v>
      </c>
      <c r="BH12" s="183"/>
      <c r="BI12" s="182">
        <v>3.0</v>
      </c>
      <c r="BJ12" s="184"/>
      <c r="BK12" s="17"/>
      <c r="BL12" s="2"/>
    </row>
    <row r="13" ht="18.75" customHeight="1">
      <c r="A13" s="2"/>
      <c r="B13" s="27"/>
      <c r="C13" s="180" t="s">
        <v>291</v>
      </c>
      <c r="G13" s="181">
        <f>COUNTIF('Individual Stats'!$O$3:$AW$36, "*" &amp;C13  &amp; "*")</f>
        <v>1</v>
      </c>
      <c r="H13" s="182" t="s">
        <v>281</v>
      </c>
      <c r="J13" s="183"/>
      <c r="K13" s="182">
        <v>1.0</v>
      </c>
      <c r="L13" s="184"/>
      <c r="M13" s="212" t="s">
        <v>292</v>
      </c>
      <c r="Q13" s="181">
        <f>COUNTIF('Individual Stats'!$O$3:$AW$36, "*" &amp;M13  &amp; "*")</f>
        <v>0</v>
      </c>
      <c r="R13" s="182" t="s">
        <v>293</v>
      </c>
      <c r="T13" s="183"/>
      <c r="U13" s="182">
        <v>2.0</v>
      </c>
      <c r="V13" s="35"/>
      <c r="W13" s="162" t="s">
        <v>10</v>
      </c>
      <c r="X13" s="163"/>
      <c r="Y13" s="163"/>
      <c r="Z13" s="163"/>
      <c r="AA13" s="163"/>
      <c r="AB13" s="163"/>
      <c r="AC13" s="163"/>
      <c r="AD13" s="164">
        <f>sum(AA15*AE15,AA16*AE16,AA17*AE17,AA18*AE18,AA19*AE19,AA20*AE20,AA21*AE21)</f>
        <v>10</v>
      </c>
      <c r="AE13" s="165" t="s">
        <v>232</v>
      </c>
      <c r="AF13" s="213">
        <v>10.0</v>
      </c>
      <c r="AG13" s="185" t="s">
        <v>294</v>
      </c>
      <c r="AK13" s="181">
        <f>COUNTIF('Individual Stats'!$O$3:$AW$36, "*" &amp;AG13  &amp; "*")</f>
        <v>0</v>
      </c>
      <c r="AL13" s="187">
        <v>46082.0</v>
      </c>
      <c r="AN13" s="183"/>
      <c r="AO13" s="182">
        <v>2.0</v>
      </c>
      <c r="AP13" s="35"/>
      <c r="AQ13" s="174" t="s">
        <v>233</v>
      </c>
      <c r="AR13" s="161"/>
      <c r="AS13" s="161"/>
      <c r="AT13" s="161"/>
      <c r="AU13" s="175"/>
      <c r="AV13" s="176" t="s">
        <v>234</v>
      </c>
      <c r="AW13" s="161"/>
      <c r="AX13" s="175"/>
      <c r="AY13" s="176" t="s">
        <v>235</v>
      </c>
      <c r="AZ13" s="177"/>
      <c r="BA13" s="186" t="s">
        <v>295</v>
      </c>
      <c r="BE13" s="181">
        <f>COUNTIF('Individual Stats'!$O$3:$AW$36, "*" &amp;BA13  &amp; "*")</f>
        <v>0</v>
      </c>
      <c r="BF13" s="182" t="s">
        <v>290</v>
      </c>
      <c r="BH13" s="183"/>
      <c r="BI13" s="182">
        <v>3.0</v>
      </c>
      <c r="BJ13" s="184"/>
      <c r="BK13" s="17"/>
      <c r="BL13" s="2"/>
    </row>
    <row r="14" ht="18.75" customHeight="1">
      <c r="A14" s="2"/>
      <c r="B14" s="27"/>
      <c r="C14" s="180" t="s">
        <v>296</v>
      </c>
      <c r="G14" s="181">
        <f>COUNTIF('Individual Stats'!$O$3:$AW$36, "*" &amp;C14  &amp; "*")</f>
        <v>2</v>
      </c>
      <c r="H14" s="182" t="s">
        <v>281</v>
      </c>
      <c r="J14" s="183"/>
      <c r="K14" s="182">
        <v>1.0</v>
      </c>
      <c r="L14" s="184"/>
      <c r="M14" s="211" t="s">
        <v>297</v>
      </c>
      <c r="Q14" s="189">
        <f>COUNTIF('Individual Stats'!$O$3:$AW$36, "*" &amp;M14  &amp; "*")</f>
        <v>0</v>
      </c>
      <c r="R14" s="190">
        <v>219148.0</v>
      </c>
      <c r="T14" s="183"/>
      <c r="U14" s="191">
        <v>2.0</v>
      </c>
      <c r="V14" s="35"/>
      <c r="W14" s="174" t="s">
        <v>233</v>
      </c>
      <c r="X14" s="161"/>
      <c r="Y14" s="161"/>
      <c r="Z14" s="161"/>
      <c r="AA14" s="175"/>
      <c r="AB14" s="176" t="s">
        <v>234</v>
      </c>
      <c r="AC14" s="161"/>
      <c r="AD14" s="175"/>
      <c r="AE14" s="176" t="s">
        <v>235</v>
      </c>
      <c r="AF14" s="177"/>
      <c r="AG14" s="185" t="s">
        <v>298</v>
      </c>
      <c r="AK14" s="181">
        <f>COUNTIF('Individual Stats'!$O$3:$AW$36, "*" &amp;AG14  &amp; "*")</f>
        <v>0</v>
      </c>
      <c r="AL14" s="182" t="s">
        <v>299</v>
      </c>
      <c r="AN14" s="183"/>
      <c r="AO14" s="182">
        <v>3.0</v>
      </c>
      <c r="AP14" s="35"/>
      <c r="AQ14" s="180" t="s">
        <v>300</v>
      </c>
      <c r="AU14" s="181">
        <f>COUNTIF('Individual Stats'!$O$3:$AW$36, "*" &amp;AQ14  &amp; "*")</f>
        <v>1</v>
      </c>
      <c r="AV14" s="214">
        <v>36526.0</v>
      </c>
      <c r="AX14" s="183"/>
      <c r="AY14" s="182">
        <v>2.0</v>
      </c>
      <c r="AZ14" s="184"/>
      <c r="BA14" s="186" t="s">
        <v>301</v>
      </c>
      <c r="BE14" s="181">
        <f>COUNTIF('Individual Stats'!$O$3:$AW$36, "*" &amp;BA14  &amp; "*")</f>
        <v>0</v>
      </c>
      <c r="BF14" s="182" t="s">
        <v>290</v>
      </c>
      <c r="BH14" s="183"/>
      <c r="BI14" s="182">
        <v>3.0</v>
      </c>
      <c r="BJ14" s="184"/>
      <c r="BK14" s="17"/>
      <c r="BL14" s="2"/>
    </row>
    <row r="15" ht="18.75" customHeight="1">
      <c r="A15" s="2"/>
      <c r="B15" s="27"/>
      <c r="C15" s="180" t="s">
        <v>302</v>
      </c>
      <c r="G15" s="181">
        <f>COUNTIF('Individual Stats'!$O$3:$AW$36, "*" &amp;C15  &amp; "*")</f>
        <v>1</v>
      </c>
      <c r="H15" s="182" t="s">
        <v>281</v>
      </c>
      <c r="J15" s="183"/>
      <c r="K15" s="182">
        <v>1.0</v>
      </c>
      <c r="L15" s="184"/>
      <c r="M15" s="197" t="s">
        <v>261</v>
      </c>
      <c r="N15" s="198"/>
      <c r="O15" s="199">
        <f>V10/(1/300*U12 + 1/200*U13 + 1/2500*U14)</f>
        <v>212.2641509</v>
      </c>
      <c r="P15" s="200"/>
      <c r="Q15" s="198"/>
      <c r="R15" s="201" t="s">
        <v>262</v>
      </c>
      <c r="S15" s="198"/>
      <c r="T15" s="202">
        <f>O15/10</f>
        <v>21.22641509</v>
      </c>
      <c r="U15" s="200"/>
      <c r="V15" s="203"/>
      <c r="W15" s="180" t="s">
        <v>303</v>
      </c>
      <c r="AA15" s="181">
        <f>COUNTIF('Individual Stats'!$O$3:$AW$36, "*" &amp;W15  &amp; "*")</f>
        <v>0</v>
      </c>
      <c r="AB15" s="182" t="s">
        <v>267</v>
      </c>
      <c r="AD15" s="183"/>
      <c r="AE15" s="182">
        <v>1.0</v>
      </c>
      <c r="AF15" s="184"/>
      <c r="AG15" s="185" t="s">
        <v>304</v>
      </c>
      <c r="AK15" s="181">
        <f>COUNTIF('Individual Stats'!$O$3:$AW$36, "*" &amp;AG15  &amp; "*")</f>
        <v>0</v>
      </c>
      <c r="AL15" s="182" t="s">
        <v>305</v>
      </c>
      <c r="AN15" s="183"/>
      <c r="AO15" s="182">
        <v>3.0</v>
      </c>
      <c r="AP15" s="35"/>
      <c r="AQ15" s="180" t="s">
        <v>306</v>
      </c>
      <c r="AU15" s="181">
        <f>COUNTIF('Individual Stats'!$O$3:$AW$36, "*" &amp;AQ15  &amp; "*")</f>
        <v>1</v>
      </c>
      <c r="AV15" s="214" t="s">
        <v>248</v>
      </c>
      <c r="AX15" s="183"/>
      <c r="AY15" s="182">
        <v>3.0</v>
      </c>
      <c r="AZ15" s="184"/>
      <c r="BA15" s="188" t="s">
        <v>307</v>
      </c>
      <c r="BE15" s="189">
        <f>COUNTIF('Individual Stats'!$O$3:$AW$36, "*" &amp;BA15  &amp; "*")</f>
        <v>0</v>
      </c>
      <c r="BF15" s="191" t="s">
        <v>308</v>
      </c>
      <c r="BH15" s="183"/>
      <c r="BI15" s="191">
        <v>3.0</v>
      </c>
      <c r="BJ15" s="184"/>
      <c r="BK15" s="17"/>
      <c r="BL15" s="2"/>
    </row>
    <row r="16" ht="18.75" customHeight="1">
      <c r="A16" s="2"/>
      <c r="B16" s="27"/>
      <c r="C16" s="197" t="s">
        <v>261</v>
      </c>
      <c r="D16" s="198"/>
      <c r="E16" s="199">
        <f>L9/(1/283*K11 + 1/283*K12 + 1/283*K13 + 1/283*K14 + 1/283*K15)</f>
        <v>283</v>
      </c>
      <c r="F16" s="200"/>
      <c r="G16" s="198"/>
      <c r="H16" s="201" t="s">
        <v>262</v>
      </c>
      <c r="I16" s="198"/>
      <c r="J16" s="202">
        <f>E16/20</f>
        <v>14.15</v>
      </c>
      <c r="K16" s="200"/>
      <c r="L16" s="203"/>
      <c r="M16" s="166" t="s">
        <v>15</v>
      </c>
      <c r="N16" s="163"/>
      <c r="O16" s="163"/>
      <c r="P16" s="163"/>
      <c r="Q16" s="163"/>
      <c r="R16" s="163"/>
      <c r="S16" s="167"/>
      <c r="T16" s="168">
        <f>sum(Q18*U18,Q19*U19,Q20*U20,Q21*U21,Q22*U22,Q23*U23)</f>
        <v>9</v>
      </c>
      <c r="U16" s="168" t="s">
        <v>232</v>
      </c>
      <c r="V16" s="169">
        <v>8.0</v>
      </c>
      <c r="W16" s="180" t="s">
        <v>309</v>
      </c>
      <c r="AA16" s="181">
        <f>COUNTIF('Individual Stats'!$O$3:$AW$36, "*" &amp;W16  &amp; "*")</f>
        <v>0</v>
      </c>
      <c r="AB16" s="182" t="s">
        <v>267</v>
      </c>
      <c r="AD16" s="183"/>
      <c r="AE16" s="182">
        <v>1.0</v>
      </c>
      <c r="AF16" s="184"/>
      <c r="AG16" s="185" t="s">
        <v>310</v>
      </c>
      <c r="AK16" s="181">
        <f>COUNTIF('Individual Stats'!$O$3:$AW$36, "*" &amp;AG16  &amp; "*")</f>
        <v>0</v>
      </c>
      <c r="AL16" s="182" t="s">
        <v>311</v>
      </c>
      <c r="AN16" s="183"/>
      <c r="AO16" s="182">
        <v>3.0</v>
      </c>
      <c r="AP16" s="35"/>
      <c r="AQ16" s="180" t="s">
        <v>312</v>
      </c>
      <c r="AU16" s="181">
        <f>COUNTIF('Individual Stats'!$O$3:$AW$36, "*" &amp;AQ16  &amp; "*")</f>
        <v>0</v>
      </c>
      <c r="AV16" s="214" t="s">
        <v>248</v>
      </c>
      <c r="AX16" s="183"/>
      <c r="AY16" s="182">
        <v>2.0</v>
      </c>
      <c r="AZ16" s="184"/>
      <c r="BA16" s="186" t="s">
        <v>313</v>
      </c>
      <c r="BE16" s="215">
        <f>COUNTIF('Individual Stats'!$O$3:$AW$36, "*" &amp;BA16  &amp; "*")</f>
        <v>0</v>
      </c>
      <c r="BF16" s="182" t="s">
        <v>314</v>
      </c>
      <c r="BH16" s="183"/>
      <c r="BI16" s="182">
        <v>3.0</v>
      </c>
      <c r="BJ16" s="184"/>
      <c r="BK16" s="25"/>
      <c r="BL16" s="2"/>
    </row>
    <row r="17" ht="18.75" customHeight="1">
      <c r="A17" s="2"/>
      <c r="B17" s="73"/>
      <c r="C17" s="170" t="s">
        <v>315</v>
      </c>
      <c r="D17" s="163"/>
      <c r="E17" s="163"/>
      <c r="F17" s="163"/>
      <c r="G17" s="163"/>
      <c r="H17" s="163"/>
      <c r="I17" s="163"/>
      <c r="J17" s="171">
        <f>SUM(G19*K19, G20*K20, G21*K21, G22*K22, G23*K23, G24*K24, G25*K25, G26*K26, G27*K27, G28*K28, G29*K29, G30*K30, G31*K31, G32*K32)</f>
        <v>18</v>
      </c>
      <c r="K17" s="172" t="s">
        <v>232</v>
      </c>
      <c r="L17" s="173">
        <v>18.0</v>
      </c>
      <c r="M17" s="174" t="s">
        <v>233</v>
      </c>
      <c r="N17" s="161"/>
      <c r="O17" s="161"/>
      <c r="P17" s="161"/>
      <c r="Q17" s="175"/>
      <c r="R17" s="176" t="s">
        <v>234</v>
      </c>
      <c r="S17" s="161"/>
      <c r="T17" s="175"/>
      <c r="U17" s="176" t="s">
        <v>235</v>
      </c>
      <c r="V17" s="177"/>
      <c r="W17" s="216" t="s">
        <v>316</v>
      </c>
      <c r="AA17" s="181">
        <f>COUNTIF('Individual Stats'!$O$3:$AW$36, "*" &amp;W17  &amp; "*")</f>
        <v>8</v>
      </c>
      <c r="AB17" s="182" t="s">
        <v>267</v>
      </c>
      <c r="AD17" s="183"/>
      <c r="AE17" s="182">
        <v>1.0</v>
      </c>
      <c r="AF17" s="184"/>
      <c r="AG17" s="185" t="s">
        <v>317</v>
      </c>
      <c r="AK17" s="181">
        <f>COUNTIF('Individual Stats'!$O$3:$AW$36, "*" &amp;AG17  &amp; "*")</f>
        <v>0</v>
      </c>
      <c r="AL17" s="182" t="s">
        <v>318</v>
      </c>
      <c r="AN17" s="183"/>
      <c r="AO17" s="182">
        <v>3.0</v>
      </c>
      <c r="AP17" s="35"/>
      <c r="AQ17" s="180" t="s">
        <v>319</v>
      </c>
      <c r="AU17" s="181">
        <f>COUNTIF('Individual Stats'!$O$3:$AW$36, "*" &amp;AQ17  &amp; "*")</f>
        <v>1</v>
      </c>
      <c r="AV17" s="182" t="s">
        <v>314</v>
      </c>
      <c r="AX17" s="183"/>
      <c r="AY17" s="182">
        <v>1.0</v>
      </c>
      <c r="AZ17" s="184"/>
      <c r="BA17" s="180" t="s">
        <v>320</v>
      </c>
      <c r="BE17" s="181">
        <f>COUNTIF('Individual Stats'!$O$3:$AW$36, "*" &amp;BA17  &amp; "*")</f>
        <v>0</v>
      </c>
      <c r="BF17" s="182" t="s">
        <v>267</v>
      </c>
      <c r="BH17" s="183"/>
      <c r="BI17" s="182">
        <v>3.0</v>
      </c>
      <c r="BJ17" s="184"/>
      <c r="BK17" s="17"/>
      <c r="BL17" s="2"/>
    </row>
    <row r="18" ht="18.75" customHeight="1">
      <c r="A18" s="2"/>
      <c r="B18" s="27"/>
      <c r="C18" s="174" t="s">
        <v>233</v>
      </c>
      <c r="D18" s="161"/>
      <c r="E18" s="161"/>
      <c r="F18" s="161"/>
      <c r="G18" s="175"/>
      <c r="H18" s="176" t="s">
        <v>234</v>
      </c>
      <c r="I18" s="161"/>
      <c r="J18" s="175"/>
      <c r="K18" s="176" t="s">
        <v>235</v>
      </c>
      <c r="L18" s="177"/>
      <c r="M18" s="180" t="s">
        <v>321</v>
      </c>
      <c r="Q18" s="217">
        <f>COUNTIF('Individual Stats'!$O$3:$AW$36, "*" &amp;M18  &amp; "*")</f>
        <v>6</v>
      </c>
      <c r="R18" s="182" t="s">
        <v>322</v>
      </c>
      <c r="T18" s="183"/>
      <c r="U18" s="182">
        <v>1.0</v>
      </c>
      <c r="V18" s="184"/>
      <c r="W18" s="180" t="s">
        <v>323</v>
      </c>
      <c r="AA18" s="181">
        <f>COUNTIF('Individual Stats'!$O$3:$AW$36, "*" &amp;W18  &amp; "*")</f>
        <v>0</v>
      </c>
      <c r="AB18" s="214" t="s">
        <v>324</v>
      </c>
      <c r="AD18" s="183"/>
      <c r="AE18" s="182">
        <v>2.0</v>
      </c>
      <c r="AF18" s="184"/>
      <c r="AG18" s="211" t="s">
        <v>325</v>
      </c>
      <c r="AK18" s="189">
        <f>COUNTIF('Individual Stats'!$O$3:$AW$36, "*" &amp;AG18  &amp; "*")</f>
        <v>0</v>
      </c>
      <c r="AL18" s="191" t="s">
        <v>326</v>
      </c>
      <c r="AN18" s="183"/>
      <c r="AO18" s="191">
        <v>3.0</v>
      </c>
      <c r="AP18" s="35"/>
      <c r="AQ18" s="180" t="s">
        <v>327</v>
      </c>
      <c r="AU18" s="181">
        <f>COUNTIF('Individual Stats'!$O$3:$AW$36, "*" &amp;AQ18  &amp; "*")</f>
        <v>0</v>
      </c>
      <c r="AV18" s="182" t="s">
        <v>328</v>
      </c>
      <c r="AX18" s="183"/>
      <c r="AY18" s="182">
        <v>1.0</v>
      </c>
      <c r="AZ18" s="184"/>
      <c r="BA18" s="174" t="s">
        <v>261</v>
      </c>
      <c r="BB18" s="175"/>
      <c r="BC18" s="218">
        <f>BJ3/(33/867.6 * (14/60*BI5 + 14/60*BI6 + 1/15*BI7 + 1/15*BI8 + 1/5*BI9 + 1/20*BI10 + 1/20*BI11 + 1/30*BI12 + 1/30*BI13 + 1/30*BI14 + 1/53*BI15))</f>
        <v>62.22931962</v>
      </c>
      <c r="BD18" s="161"/>
      <c r="BE18" s="175"/>
      <c r="BF18" s="176" t="s">
        <v>262</v>
      </c>
      <c r="BG18" s="175"/>
      <c r="BH18" s="219">
        <f>BC18/3</f>
        <v>20.74310654</v>
      </c>
      <c r="BI18" s="161"/>
      <c r="BJ18" s="177"/>
      <c r="BK18" s="17"/>
      <c r="BL18" s="2"/>
    </row>
    <row r="19" ht="18.75" customHeight="1">
      <c r="A19" s="2"/>
      <c r="B19" s="27"/>
      <c r="C19" s="180" t="s">
        <v>329</v>
      </c>
      <c r="G19" s="217">
        <f>COUNTIF('Individual Stats'!$O$3:$AW$36, "*" &amp;C19  &amp; "*")</f>
        <v>1</v>
      </c>
      <c r="H19" s="182" t="s">
        <v>237</v>
      </c>
      <c r="J19" s="183"/>
      <c r="K19" s="182">
        <v>2.0</v>
      </c>
      <c r="L19" s="184"/>
      <c r="M19" s="186" t="s">
        <v>330</v>
      </c>
      <c r="Q19" s="217">
        <f>COUNTIF('Individual Stats'!$O$3:$AW$36, "*" &amp;M19  &amp; "*")</f>
        <v>0</v>
      </c>
      <c r="R19" s="214" t="s">
        <v>248</v>
      </c>
      <c r="T19" s="183"/>
      <c r="U19" s="182">
        <v>2.0</v>
      </c>
      <c r="V19" s="184"/>
      <c r="W19" s="180" t="s">
        <v>331</v>
      </c>
      <c r="AA19" s="181">
        <f>COUNTIF('Individual Stats'!$O$3:$AW$36, "*" &amp;W19  &amp; "*")</f>
        <v>1</v>
      </c>
      <c r="AB19" s="214" t="s">
        <v>324</v>
      </c>
      <c r="AD19" s="183"/>
      <c r="AE19" s="182">
        <v>2.0</v>
      </c>
      <c r="AF19" s="184"/>
      <c r="AG19" s="174" t="s">
        <v>261</v>
      </c>
      <c r="AH19" s="175"/>
      <c r="AI19" s="218">
        <f>AP8/((1/9.1 * 1/3 * (1/2.375*AO10 + 1/9.5*AO11 + 1/9.5*AO12 + 3/9.5*AO13 + 1/19*AO14) + 1/500*AO18))</f>
        <v>60.82281413</v>
      </c>
      <c r="AJ19" s="161"/>
      <c r="AK19" s="175"/>
      <c r="AL19" s="176" t="s">
        <v>262</v>
      </c>
      <c r="AM19" s="175"/>
      <c r="AN19" s="219">
        <f t="shared" ref="AN19:AN20" si="1">AI19/3</f>
        <v>20.27427138</v>
      </c>
      <c r="AO19" s="161"/>
      <c r="AP19" s="177"/>
      <c r="AQ19" s="180" t="s">
        <v>332</v>
      </c>
      <c r="AU19" s="181">
        <f>COUNTIF('Individual Stats'!$O$3:$AW$36, "*" &amp;AQ19  &amp; "*")</f>
        <v>0</v>
      </c>
      <c r="AV19" s="182" t="s">
        <v>333</v>
      </c>
      <c r="AX19" s="183"/>
      <c r="AY19" s="182">
        <v>1.0</v>
      </c>
      <c r="AZ19" s="184"/>
      <c r="BA19" s="220" t="s">
        <v>334</v>
      </c>
      <c r="BB19" s="20"/>
      <c r="BC19" s="221">
        <f>BJ3/(65/867.6 * (12/56*BI5 + 12/56*BI6 + 1/14*BI7 + 1/14*BI8 + 3/14*BI9 + 3/56*BI10 + 3/56*BI11 + 1/28*BI12 + 1/28*BI13 + 1/28*BI14 + 1/53*BI15) + 1/75*BI16 + 1/400*BI17)</f>
        <v>22.53544714</v>
      </c>
      <c r="BD19" s="19"/>
      <c r="BE19" s="20"/>
      <c r="BF19" s="222" t="s">
        <v>335</v>
      </c>
      <c r="BG19" s="20"/>
      <c r="BH19" s="223">
        <f>BC19/1.7</f>
        <v>13.25614538</v>
      </c>
      <c r="BI19" s="19"/>
      <c r="BJ19" s="224"/>
      <c r="BK19" s="17"/>
      <c r="BL19" s="2"/>
    </row>
    <row r="20" ht="18.75" customHeight="1">
      <c r="A20" s="2"/>
      <c r="B20" s="27"/>
      <c r="C20" s="180" t="s">
        <v>336</v>
      </c>
      <c r="G20" s="217">
        <f>COUNTIF('Individual Stats'!$O$3:$AW$36, "*" &amp;C20  &amp; "*")</f>
        <v>0</v>
      </c>
      <c r="H20" s="182" t="s">
        <v>337</v>
      </c>
      <c r="J20" s="183"/>
      <c r="K20" s="182">
        <v>2.0</v>
      </c>
      <c r="L20" s="184"/>
      <c r="M20" s="180" t="s">
        <v>338</v>
      </c>
      <c r="Q20" s="217">
        <f>COUNTIF('Individual Stats'!$O$3:$AW$36, "*" &amp;M20  &amp; "*")</f>
        <v>0</v>
      </c>
      <c r="R20" s="214">
        <v>1132254.0</v>
      </c>
      <c r="T20" s="183"/>
      <c r="U20" s="182">
        <v>4.0</v>
      </c>
      <c r="V20" s="184"/>
      <c r="W20" s="180" t="s">
        <v>339</v>
      </c>
      <c r="AA20" s="181">
        <f>COUNTIF('Individual Stats'!$O$3:$AW$36, W13&amp;" - *" &amp;W20  &amp; "*")</f>
        <v>0</v>
      </c>
      <c r="AB20" s="214">
        <v>2227981.0</v>
      </c>
      <c r="AD20" s="183"/>
      <c r="AE20" s="182">
        <v>3.0</v>
      </c>
      <c r="AF20" s="184"/>
      <c r="AG20" s="197" t="s">
        <v>340</v>
      </c>
      <c r="AH20" s="198"/>
      <c r="AI20" s="225">
        <f>AP8/((1/7.7 * 1/3 * (1/2.571*AO10 + 1/9*AO11 + 1/9*AO12 + 3/9*AO13 + 1/18*AO14) + 1/500*AO18 + 1/100*AO15 + 1/150*AO16 + 1/275*AO17))</f>
        <v>28.7641547</v>
      </c>
      <c r="AJ20" s="200"/>
      <c r="AK20" s="198"/>
      <c r="AL20" s="226" t="s">
        <v>341</v>
      </c>
      <c r="AM20" s="198"/>
      <c r="AN20" s="202">
        <f t="shared" si="1"/>
        <v>9.588051568</v>
      </c>
      <c r="AO20" s="200"/>
      <c r="AP20" s="203"/>
      <c r="AQ20" s="180" t="s">
        <v>342</v>
      </c>
      <c r="AU20" s="181">
        <f>COUNTIF('Individual Stats'!$O$3:$AW$36, "*" &amp;AQ20  &amp; "*")</f>
        <v>0</v>
      </c>
      <c r="AV20" s="182" t="s">
        <v>343</v>
      </c>
      <c r="AX20" s="183"/>
      <c r="AY20" s="182">
        <v>1.0</v>
      </c>
      <c r="AZ20" s="184"/>
      <c r="BA20" s="166" t="s">
        <v>13</v>
      </c>
      <c r="BB20" s="163"/>
      <c r="BC20" s="163"/>
      <c r="BD20" s="163"/>
      <c r="BE20" s="163"/>
      <c r="BF20" s="163"/>
      <c r="BG20" s="167"/>
      <c r="BH20" s="168">
        <f>sum(BE22*BI22,BE23*BI23,BE24*BI24,BE25*BI25,BE26*BI26,BE27*BI27)</f>
        <v>10</v>
      </c>
      <c r="BI20" s="168" t="s">
        <v>232</v>
      </c>
      <c r="BJ20" s="169">
        <v>10.0</v>
      </c>
      <c r="BK20" s="17"/>
      <c r="BL20" s="2"/>
    </row>
    <row r="21" ht="18.75" customHeight="1">
      <c r="A21" s="2"/>
      <c r="B21" s="27"/>
      <c r="C21" s="180" t="s">
        <v>344</v>
      </c>
      <c r="G21" s="217">
        <f>COUNTIF('Individual Stats'!$O$3:$AW$36, "*" &amp;C21  &amp; "*")</f>
        <v>1</v>
      </c>
      <c r="H21" s="182" t="s">
        <v>345</v>
      </c>
      <c r="J21" s="183"/>
      <c r="K21" s="182">
        <v>4.0</v>
      </c>
      <c r="L21" s="184"/>
      <c r="M21" s="180" t="s">
        <v>346</v>
      </c>
      <c r="Q21" s="217">
        <f>COUNTIF('Individual Stats'!$O$3:$AW$36, "*" &amp;M21  &amp; "*")</f>
        <v>0</v>
      </c>
      <c r="R21" s="214">
        <v>1132254.0</v>
      </c>
      <c r="T21" s="183"/>
      <c r="U21" s="182">
        <v>4.0</v>
      </c>
      <c r="V21" s="184"/>
      <c r="W21" s="188" t="s">
        <v>347</v>
      </c>
      <c r="AA21" s="189">
        <f>COUNTIF('Individual Stats'!$O$3:$AW$36, "*" &amp;W21  &amp; "*")</f>
        <v>0</v>
      </c>
      <c r="AB21" s="190">
        <v>2227981.0</v>
      </c>
      <c r="AD21" s="183"/>
      <c r="AE21" s="191">
        <v>3.0</v>
      </c>
      <c r="AF21" s="184"/>
      <c r="AG21" s="162" t="s">
        <v>50</v>
      </c>
      <c r="AH21" s="163"/>
      <c r="AI21" s="163"/>
      <c r="AJ21" s="163"/>
      <c r="AK21" s="163"/>
      <c r="AL21" s="163"/>
      <c r="AM21" s="163"/>
      <c r="AN21" s="164">
        <f>sum(AK23*AO23,AK24*AO24,AK25*AO25,AK26*AO26,AK27*AO27,AK28*AO28)</f>
        <v>10</v>
      </c>
      <c r="AO21" s="165" t="s">
        <v>232</v>
      </c>
      <c r="AP21" s="213">
        <v>10.0</v>
      </c>
      <c r="AQ21" s="180" t="s">
        <v>348</v>
      </c>
      <c r="AU21" s="181">
        <f>COUNTIF('Individual Stats'!$O$3:$AW$36, "*" &amp;AQ21  &amp; "*")</f>
        <v>3</v>
      </c>
      <c r="AV21" s="182" t="s">
        <v>349</v>
      </c>
      <c r="AX21" s="183"/>
      <c r="AY21" s="182">
        <v>1.0</v>
      </c>
      <c r="AZ21" s="184"/>
      <c r="BA21" s="174" t="s">
        <v>233</v>
      </c>
      <c r="BB21" s="161"/>
      <c r="BC21" s="161"/>
      <c r="BD21" s="161"/>
      <c r="BE21" s="175"/>
      <c r="BF21" s="176" t="s">
        <v>234</v>
      </c>
      <c r="BG21" s="161"/>
      <c r="BH21" s="175"/>
      <c r="BI21" s="176" t="s">
        <v>235</v>
      </c>
      <c r="BJ21" s="177"/>
      <c r="BK21" s="17"/>
      <c r="BL21" s="2"/>
    </row>
    <row r="22" ht="18.75" customHeight="1">
      <c r="A22" s="2"/>
      <c r="B22" s="73"/>
      <c r="C22" s="180" t="s">
        <v>350</v>
      </c>
      <c r="G22" s="217">
        <f>COUNTIF('Individual Stats'!$O$3:$AW$36, "*" &amp;C22  &amp; "*")</f>
        <v>0</v>
      </c>
      <c r="H22" s="182" t="s">
        <v>345</v>
      </c>
      <c r="J22" s="183"/>
      <c r="K22" s="182">
        <v>4.0</v>
      </c>
      <c r="L22" s="184"/>
      <c r="M22" s="188" t="s">
        <v>351</v>
      </c>
      <c r="Q22" s="227">
        <f>COUNTIF('Individual Stats'!$O$3:$AW$36, "*" &amp;M22  &amp; "*")</f>
        <v>1</v>
      </c>
      <c r="R22" s="190">
        <v>401769.0</v>
      </c>
      <c r="T22" s="183"/>
      <c r="U22" s="191">
        <v>3.0</v>
      </c>
      <c r="V22" s="184"/>
      <c r="W22" s="197" t="s">
        <v>261</v>
      </c>
      <c r="X22" s="198"/>
      <c r="Y22" s="199">
        <f>AF13/(1/400*AE15 + 1/400*AE16 + 1/400*AE17 + 1/1600*AE18 + 1/1600*AE19 + 1/8000*AE20 + 1/8000*AE21)</f>
        <v>930.2325581</v>
      </c>
      <c r="Z22" s="200"/>
      <c r="AA22" s="198"/>
      <c r="AB22" s="201" t="s">
        <v>262</v>
      </c>
      <c r="AC22" s="198"/>
      <c r="AD22" s="228">
        <f>Y22/60</f>
        <v>15.50387597</v>
      </c>
      <c r="AE22" s="200"/>
      <c r="AF22" s="203"/>
      <c r="AG22" s="178" t="s">
        <v>233</v>
      </c>
      <c r="AH22" s="161"/>
      <c r="AI22" s="161"/>
      <c r="AJ22" s="161"/>
      <c r="AK22" s="175"/>
      <c r="AL22" s="176" t="s">
        <v>234</v>
      </c>
      <c r="AM22" s="161"/>
      <c r="AN22" s="175"/>
      <c r="AO22" s="176" t="s">
        <v>235</v>
      </c>
      <c r="AP22" s="175"/>
      <c r="AQ22" s="180" t="s">
        <v>352</v>
      </c>
      <c r="AU22" s="181">
        <f>COUNTIF('Individual Stats'!$O$3:$AW$36, "*" &amp;AQ22  &amp; "*")</f>
        <v>0</v>
      </c>
      <c r="AV22" s="182" t="s">
        <v>343</v>
      </c>
      <c r="AX22" s="183"/>
      <c r="AY22" s="182">
        <v>1.0</v>
      </c>
      <c r="AZ22" s="184"/>
      <c r="BA22" s="180" t="s">
        <v>353</v>
      </c>
      <c r="BE22" s="181">
        <f>COUNTIF('Individual Stats'!$O$3:$AW$36, "*" &amp;BA22  &amp; "*")</f>
        <v>1</v>
      </c>
      <c r="BF22" s="182" t="s">
        <v>287</v>
      </c>
      <c r="BH22" s="183"/>
      <c r="BI22" s="182">
        <v>2.0</v>
      </c>
      <c r="BJ22" s="184"/>
      <c r="BK22" s="17"/>
      <c r="BL22" s="2"/>
    </row>
    <row r="23" ht="18.75" customHeight="1">
      <c r="A23" s="2"/>
      <c r="B23" s="63"/>
      <c r="C23" s="180" t="s">
        <v>354</v>
      </c>
      <c r="G23" s="217">
        <f>COUNTIF('Individual Stats'!$O$3:$AW$36, "*" &amp;C23  &amp; "*")</f>
        <v>1</v>
      </c>
      <c r="H23" s="182" t="s">
        <v>237</v>
      </c>
      <c r="J23" s="183"/>
      <c r="K23" s="182">
        <v>2.0</v>
      </c>
      <c r="L23" s="184"/>
      <c r="M23" s="188" t="s">
        <v>355</v>
      </c>
      <c r="Q23" s="227">
        <f>COUNTIF('Individual Stats'!$O$3:$AW$36, "*" &amp;M23  &amp; "*")</f>
        <v>0</v>
      </c>
      <c r="R23" s="190">
        <v>401769.0</v>
      </c>
      <c r="T23" s="183"/>
      <c r="U23" s="191">
        <v>3.0</v>
      </c>
      <c r="V23" s="184"/>
      <c r="W23" s="170" t="s">
        <v>16</v>
      </c>
      <c r="X23" s="163"/>
      <c r="Y23" s="163"/>
      <c r="Z23" s="163"/>
      <c r="AA23" s="163"/>
      <c r="AB23" s="163"/>
      <c r="AC23" s="163"/>
      <c r="AD23" s="171">
        <f>sum(AA25*AE25,AA26*AE26,AA27*AE27,AA28*AE28,AA29*AE29,AA30*AE30)</f>
        <v>4</v>
      </c>
      <c r="AE23" s="172" t="s">
        <v>232</v>
      </c>
      <c r="AF23" s="173">
        <v>4.0</v>
      </c>
      <c r="AG23" s="180" t="s">
        <v>356</v>
      </c>
      <c r="AK23" s="181">
        <f>COUNTIF('Individual Stats'!$O$3:$AW$36, "*" &amp;AG23  &amp; "*")</f>
        <v>4</v>
      </c>
      <c r="AL23" s="182" t="s">
        <v>293</v>
      </c>
      <c r="AN23" s="183"/>
      <c r="AO23" s="182">
        <v>1.0</v>
      </c>
      <c r="AP23" s="184"/>
      <c r="AQ23" s="180" t="s">
        <v>357</v>
      </c>
      <c r="AU23" s="181">
        <f>COUNTIF('Individual Stats'!$O$3:$AW$36, "*" &amp;AQ23  &amp; "*")</f>
        <v>0</v>
      </c>
      <c r="AV23" s="214">
        <v>401769.0</v>
      </c>
      <c r="AX23" s="183"/>
      <c r="AY23" s="182">
        <v>2.0</v>
      </c>
      <c r="AZ23" s="184"/>
      <c r="BA23" s="180" t="s">
        <v>358</v>
      </c>
      <c r="BE23" s="181">
        <f>COUNTIF('Individual Stats'!$O$3:$AW$36, "*" &amp;BA23  &amp; "*")</f>
        <v>2</v>
      </c>
      <c r="BF23" s="182" t="s">
        <v>243</v>
      </c>
      <c r="BH23" s="183"/>
      <c r="BI23" s="182">
        <v>1.0</v>
      </c>
      <c r="BJ23" s="184"/>
      <c r="BK23" s="17"/>
      <c r="BL23" s="2"/>
    </row>
    <row r="24" ht="18.75" customHeight="1">
      <c r="A24" s="2"/>
      <c r="B24" s="27"/>
      <c r="C24" s="180" t="s">
        <v>359</v>
      </c>
      <c r="G24" s="217">
        <f>COUNTIF('Individual Stats'!$O$3:$AW$36, "*" &amp;C24  &amp; "*")</f>
        <v>1</v>
      </c>
      <c r="H24" s="182" t="s">
        <v>345</v>
      </c>
      <c r="J24" s="183"/>
      <c r="K24" s="182">
        <v>4.0</v>
      </c>
      <c r="L24" s="184"/>
      <c r="M24" s="197" t="s">
        <v>261</v>
      </c>
      <c r="N24" s="198"/>
      <c r="O24" s="199">
        <f>V16/(1/50*U18 + 1/1000*U19 + 1/5000/U20 + 1/5000*U21 + 1/3000*U22 + 1/3000*U23)</f>
        <v>321.9315895</v>
      </c>
      <c r="P24" s="200"/>
      <c r="Q24" s="198"/>
      <c r="R24" s="201" t="s">
        <v>262</v>
      </c>
      <c r="S24" s="198"/>
      <c r="T24" s="202">
        <f>O24/30</f>
        <v>10.73105298</v>
      </c>
      <c r="U24" s="200"/>
      <c r="V24" s="203"/>
      <c r="W24" s="174" t="s">
        <v>233</v>
      </c>
      <c r="X24" s="161"/>
      <c r="Y24" s="161"/>
      <c r="Z24" s="161"/>
      <c r="AA24" s="175"/>
      <c r="AB24" s="176" t="s">
        <v>234</v>
      </c>
      <c r="AC24" s="161"/>
      <c r="AD24" s="175"/>
      <c r="AE24" s="176" t="s">
        <v>235</v>
      </c>
      <c r="AF24" s="177"/>
      <c r="AG24" s="180" t="s">
        <v>360</v>
      </c>
      <c r="AK24" s="181">
        <f>COUNTIF('Individual Stats'!$O$3:$AW$36, "*" &amp;AG24  &amp; "*")</f>
        <v>2</v>
      </c>
      <c r="AL24" s="182" t="s">
        <v>361</v>
      </c>
      <c r="AN24" s="183"/>
      <c r="AO24" s="182">
        <v>1.0</v>
      </c>
      <c r="AP24" s="184"/>
      <c r="AQ24" s="180" t="s">
        <v>51</v>
      </c>
      <c r="AU24" s="181">
        <f>COUNTIF('Individual Stats'!$O$3:$AW$36, AQ12&amp;" - *" &amp;AQ24  &amp; "*")</f>
        <v>0</v>
      </c>
      <c r="AV24" s="182" t="s">
        <v>362</v>
      </c>
      <c r="AX24" s="183"/>
      <c r="AY24" s="182">
        <v>1.0</v>
      </c>
      <c r="AZ24" s="184"/>
      <c r="BA24" s="180" t="s">
        <v>363</v>
      </c>
      <c r="BE24" s="181">
        <f>COUNTIF('Individual Stats'!$O$3:$AW$36, "*" &amp;BA24  &amp; "*")</f>
        <v>2</v>
      </c>
      <c r="BF24" s="182" t="s">
        <v>243</v>
      </c>
      <c r="BH24" s="183"/>
      <c r="BI24" s="182">
        <v>1.0</v>
      </c>
      <c r="BJ24" s="184"/>
      <c r="BK24" s="17"/>
      <c r="BL24" s="2"/>
    </row>
    <row r="25" ht="18.75" customHeight="1">
      <c r="A25" s="2"/>
      <c r="B25" s="27"/>
      <c r="C25" s="180" t="s">
        <v>364</v>
      </c>
      <c r="G25" s="217">
        <f>COUNTIF('Individual Stats'!$O$3:$AW$36, "*" &amp;C25  &amp; "*")</f>
        <v>0</v>
      </c>
      <c r="H25" s="182" t="s">
        <v>237</v>
      </c>
      <c r="J25" s="183"/>
      <c r="K25" s="182">
        <v>2.0</v>
      </c>
      <c r="L25" s="184"/>
      <c r="M25" s="170" t="s">
        <v>21</v>
      </c>
      <c r="N25" s="163"/>
      <c r="O25" s="163"/>
      <c r="P25" s="163"/>
      <c r="Q25" s="163"/>
      <c r="R25" s="163"/>
      <c r="S25" s="163"/>
      <c r="T25" s="171">
        <f>sum(Q27*U27,Q28*U28,Q29*U29,Q30*U30,Q31*U31)</f>
        <v>12</v>
      </c>
      <c r="U25" s="172" t="s">
        <v>232</v>
      </c>
      <c r="V25" s="173">
        <v>12.0</v>
      </c>
      <c r="W25" s="180" t="s">
        <v>365</v>
      </c>
      <c r="AA25" s="181">
        <f>COUNTIF('Individual Stats'!$O$3:$AW$36, "*" &amp;W25  &amp; "*")</f>
        <v>1</v>
      </c>
      <c r="AB25" s="187">
        <v>46082.0</v>
      </c>
      <c r="AD25" s="183"/>
      <c r="AE25" s="182">
        <v>1.0</v>
      </c>
      <c r="AF25" s="184"/>
      <c r="AG25" s="180" t="s">
        <v>366</v>
      </c>
      <c r="AK25" s="181">
        <f>COUNTIF('Individual Stats'!$O$3:$AW$36, "*" &amp;AG25  &amp; "*")</f>
        <v>0</v>
      </c>
      <c r="AL25" s="182" t="s">
        <v>287</v>
      </c>
      <c r="AN25" s="183"/>
      <c r="AO25" s="182">
        <v>1.0</v>
      </c>
      <c r="AP25" s="184"/>
      <c r="AQ25" s="180" t="s">
        <v>367</v>
      </c>
      <c r="AU25" s="181">
        <f>COUNTIF('Individual Stats'!$O$3:$AW$36, "*" &amp;AQ25  &amp; "*")</f>
        <v>0</v>
      </c>
      <c r="AV25" s="182" t="s">
        <v>368</v>
      </c>
      <c r="AX25" s="183"/>
      <c r="AY25" s="182">
        <v>1.0</v>
      </c>
      <c r="AZ25" s="184"/>
      <c r="BA25" s="180" t="s">
        <v>369</v>
      </c>
      <c r="BE25" s="181">
        <f>COUNTIF('Individual Stats'!$O$3:$AW$36, "*" &amp;BA25  &amp; "*")</f>
        <v>0</v>
      </c>
      <c r="BF25" s="182" t="s">
        <v>368</v>
      </c>
      <c r="BH25" s="183"/>
      <c r="BI25" s="182">
        <v>1.0</v>
      </c>
      <c r="BJ25" s="184"/>
      <c r="BK25" s="17"/>
      <c r="BL25" s="2"/>
    </row>
    <row r="26" ht="18.75" customHeight="1">
      <c r="A26" s="2"/>
      <c r="B26" s="27"/>
      <c r="C26" s="180" t="s">
        <v>370</v>
      </c>
      <c r="G26" s="217">
        <f>COUNTIF('Individual Stats'!$O$3:$AW$36, "*" &amp;C26  &amp; "*")</f>
        <v>0</v>
      </c>
      <c r="H26" s="182" t="s">
        <v>345</v>
      </c>
      <c r="J26" s="183"/>
      <c r="K26" s="182">
        <v>4.0</v>
      </c>
      <c r="L26" s="184"/>
      <c r="M26" s="174" t="s">
        <v>233</v>
      </c>
      <c r="N26" s="161"/>
      <c r="O26" s="161"/>
      <c r="P26" s="161"/>
      <c r="Q26" s="175"/>
      <c r="R26" s="176" t="s">
        <v>234</v>
      </c>
      <c r="S26" s="161"/>
      <c r="T26" s="175"/>
      <c r="U26" s="176" t="s">
        <v>235</v>
      </c>
      <c r="V26" s="177"/>
      <c r="W26" s="180" t="s">
        <v>371</v>
      </c>
      <c r="AA26" s="181">
        <f>COUNTIF('Individual Stats'!$O$3:$AW$36, "*" &amp;W26  &amp; "*")</f>
        <v>1</v>
      </c>
      <c r="AB26" s="187">
        <v>46082.0</v>
      </c>
      <c r="AD26" s="183"/>
      <c r="AE26" s="182">
        <v>1.0</v>
      </c>
      <c r="AF26" s="184"/>
      <c r="AG26" s="180" t="s">
        <v>372</v>
      </c>
      <c r="AK26" s="181">
        <f>COUNTIF('Individual Stats'!$O$3:$AW$36, "*" &amp;AG26  &amp; "*")</f>
        <v>2</v>
      </c>
      <c r="AL26" s="182" t="s">
        <v>373</v>
      </c>
      <c r="AN26" s="183"/>
      <c r="AO26" s="182">
        <v>1.0</v>
      </c>
      <c r="AP26" s="184"/>
      <c r="AQ26" s="180" t="s">
        <v>374</v>
      </c>
      <c r="AU26" s="181">
        <f>COUNTIF('Individual Stats'!$O$3:$AW$36, "*" &amp;AQ26  &amp; "*")</f>
        <v>0</v>
      </c>
      <c r="AV26" s="182" t="s">
        <v>343</v>
      </c>
      <c r="AX26" s="183"/>
      <c r="AY26" s="182">
        <v>2.0</v>
      </c>
      <c r="AZ26" s="184"/>
      <c r="BA26" s="180" t="s">
        <v>375</v>
      </c>
      <c r="BE26" s="181">
        <f>COUNTIF('Individual Stats'!$O$3:$AW$36, "*" &amp;BA26  &amp; "*")</f>
        <v>0</v>
      </c>
      <c r="BF26" s="214" t="s">
        <v>376</v>
      </c>
      <c r="BH26" s="183"/>
      <c r="BI26" s="182">
        <v>2.0</v>
      </c>
      <c r="BJ26" s="184"/>
      <c r="BK26" s="17"/>
      <c r="BL26" s="2"/>
    </row>
    <row r="27" ht="18.75" customHeight="1">
      <c r="A27" s="2"/>
      <c r="B27" s="27"/>
      <c r="C27" s="180" t="s">
        <v>377</v>
      </c>
      <c r="G27" s="217">
        <f>COUNTIF('Individual Stats'!$O$3:$AW$36, "*" &amp;C27  &amp; "*")</f>
        <v>0</v>
      </c>
      <c r="H27" s="182" t="s">
        <v>237</v>
      </c>
      <c r="J27" s="183"/>
      <c r="K27" s="182">
        <v>1.0</v>
      </c>
      <c r="L27" s="184"/>
      <c r="M27" s="180" t="s">
        <v>378</v>
      </c>
      <c r="Q27" s="181">
        <f>COUNTIF('Individual Stats'!$O$3:$AW$36, "*" &amp;M27  &amp; "*")</f>
        <v>4</v>
      </c>
      <c r="R27" s="182" t="s">
        <v>293</v>
      </c>
      <c r="T27" s="183"/>
      <c r="U27" s="182">
        <v>2.0</v>
      </c>
      <c r="V27" s="184"/>
      <c r="W27" s="180" t="s">
        <v>379</v>
      </c>
      <c r="AA27" s="181">
        <f>COUNTIF('Individual Stats'!$O$3:$AW$36, "*" &amp;W27  &amp; "*")</f>
        <v>0</v>
      </c>
      <c r="AB27" s="187">
        <v>46235.0</v>
      </c>
      <c r="AD27" s="183"/>
      <c r="AE27" s="182">
        <v>2.0</v>
      </c>
      <c r="AF27" s="184"/>
      <c r="AG27" s="180" t="s">
        <v>380</v>
      </c>
      <c r="AK27" s="181">
        <f>COUNTIF('Individual Stats'!$O$3:$AW$36, "*" &amp;AG27  &amp; "*")</f>
        <v>1</v>
      </c>
      <c r="AL27" s="229" t="s">
        <v>267</v>
      </c>
      <c r="AN27" s="183"/>
      <c r="AO27" s="182">
        <v>2.0</v>
      </c>
      <c r="AP27" s="184"/>
      <c r="AQ27" s="180" t="s">
        <v>381</v>
      </c>
      <c r="AU27" s="181">
        <f>COUNTIF('Individual Stats'!$O$3:$AW$36, "*" &amp;AQ27  &amp; "*")</f>
        <v>0</v>
      </c>
      <c r="AV27" s="182" t="s">
        <v>343</v>
      </c>
      <c r="AX27" s="183"/>
      <c r="AY27" s="182">
        <v>2.0</v>
      </c>
      <c r="AZ27" s="184"/>
      <c r="BA27" s="180" t="s">
        <v>382</v>
      </c>
      <c r="BE27" s="181">
        <f>COUNTIF('Individual Stats'!$O$3:$AW$36, "*" &amp;BA27  &amp; "*")</f>
        <v>2</v>
      </c>
      <c r="BF27" s="214" t="s">
        <v>376</v>
      </c>
      <c r="BH27" s="183"/>
      <c r="BI27" s="182">
        <v>2.0</v>
      </c>
      <c r="BJ27" s="184"/>
      <c r="BK27" s="17"/>
      <c r="BL27" s="2"/>
    </row>
    <row r="28" ht="18.75" customHeight="1">
      <c r="A28" s="2"/>
      <c r="B28" s="27"/>
      <c r="C28" s="180" t="s">
        <v>383</v>
      </c>
      <c r="G28" s="217">
        <f>COUNTIF('Individual Stats'!$O$3:$AW$36, "*" &amp;C28  &amp; "*")</f>
        <v>0</v>
      </c>
      <c r="H28" s="182" t="s">
        <v>237</v>
      </c>
      <c r="J28" s="183"/>
      <c r="K28" s="182">
        <v>2.0</v>
      </c>
      <c r="L28" s="184"/>
      <c r="M28" s="180" t="s">
        <v>384</v>
      </c>
      <c r="Q28" s="181">
        <f>COUNTIF('Individual Stats'!$O$3:$AW$36, "*" &amp;M28  &amp; "*")</f>
        <v>0</v>
      </c>
      <c r="R28" s="182" t="s">
        <v>385</v>
      </c>
      <c r="T28" s="183"/>
      <c r="U28" s="182">
        <v>2.0</v>
      </c>
      <c r="V28" s="184"/>
      <c r="W28" s="180" t="s">
        <v>386</v>
      </c>
      <c r="AA28" s="181">
        <f>COUNTIF('Individual Stats'!$O$3:$AW$36, "*" &amp;W28  &amp; "*")</f>
        <v>1</v>
      </c>
      <c r="AB28" s="187">
        <v>46113.0</v>
      </c>
      <c r="AD28" s="183"/>
      <c r="AE28" s="182">
        <v>2.0</v>
      </c>
      <c r="AF28" s="184"/>
      <c r="AG28" s="188" t="s">
        <v>387</v>
      </c>
      <c r="AK28" s="189">
        <f>COUNTIF('Individual Stats'!$O$3:$AW$36, "*" &amp;AG28  &amp; "*")</f>
        <v>0</v>
      </c>
      <c r="AL28" s="230" t="s">
        <v>388</v>
      </c>
      <c r="AN28" s="183"/>
      <c r="AO28" s="191">
        <v>3.0</v>
      </c>
      <c r="AP28" s="184"/>
      <c r="AQ28" s="180" t="s">
        <v>339</v>
      </c>
      <c r="AU28" s="181">
        <f>COUNTIF('Individual Stats'!$O$3:$AW$36,AQ12&amp;" - *" &amp;AQ28  &amp; "*")</f>
        <v>1</v>
      </c>
      <c r="AV28" s="214">
        <v>36526.0</v>
      </c>
      <c r="AX28" s="183"/>
      <c r="AY28" s="182">
        <v>3.0</v>
      </c>
      <c r="AZ28" s="184"/>
      <c r="BA28" s="197" t="s">
        <v>261</v>
      </c>
      <c r="BB28" s="198"/>
      <c r="BC28" s="199">
        <f>BJ20/(1/300*BI22 + 1/500*BI23 + 1/500*BI24 + 1/750*BI25 + 1/1500*BI26 + 1/1500*BI27)</f>
        <v>681.8181818</v>
      </c>
      <c r="BD28" s="200"/>
      <c r="BE28" s="198"/>
      <c r="BF28" s="201" t="s">
        <v>262</v>
      </c>
      <c r="BG28" s="198"/>
      <c r="BH28" s="202">
        <f>BC28/50</f>
        <v>13.63636364</v>
      </c>
      <c r="BI28" s="200"/>
      <c r="BJ28" s="203"/>
      <c r="BK28" s="25"/>
      <c r="BL28" s="2"/>
    </row>
    <row r="29" ht="18.75" customHeight="1">
      <c r="A29" s="2"/>
      <c r="B29" s="27"/>
      <c r="C29" s="180" t="s">
        <v>389</v>
      </c>
      <c r="G29" s="217">
        <f>COUNTIF('Individual Stats'!$O$3:$AW$36, "*" &amp;C29  &amp; "*")</f>
        <v>1</v>
      </c>
      <c r="H29" s="182" t="s">
        <v>345</v>
      </c>
      <c r="J29" s="183"/>
      <c r="K29" s="182">
        <v>2.0</v>
      </c>
      <c r="L29" s="184"/>
      <c r="M29" s="180" t="s">
        <v>390</v>
      </c>
      <c r="Q29" s="181">
        <f>COUNTIF('Individual Stats'!$O$3:$AW$36, "*" &amp;M29  &amp; "*")</f>
        <v>1</v>
      </c>
      <c r="R29" s="182" t="s">
        <v>252</v>
      </c>
      <c r="T29" s="183"/>
      <c r="U29" s="182">
        <v>1.0</v>
      </c>
      <c r="V29" s="184"/>
      <c r="W29" s="180" t="s">
        <v>391</v>
      </c>
      <c r="AA29" s="181">
        <f>COUNTIF('Individual Stats'!$O$3:$AW$36, "*" &amp;W29  &amp; "*")</f>
        <v>0</v>
      </c>
      <c r="AB29" s="182" t="s">
        <v>392</v>
      </c>
      <c r="AD29" s="183"/>
      <c r="AE29" s="182">
        <v>3.0</v>
      </c>
      <c r="AF29" s="184"/>
      <c r="AG29" s="220" t="s">
        <v>261</v>
      </c>
      <c r="AH29" s="20"/>
      <c r="AI29" s="221">
        <f>AP21/(1/200*AO23 + 1/273*AO24 + 1/300*AO25 + 1/700*AO26 + 1/400*AO27 + 1/4000*AO28)</f>
        <v>521.5148765</v>
      </c>
      <c r="AJ29" s="19"/>
      <c r="AK29" s="20"/>
      <c r="AL29" s="231" t="s">
        <v>262</v>
      </c>
      <c r="AM29" s="20"/>
      <c r="AN29" s="223">
        <f>AI29/30</f>
        <v>17.38382922</v>
      </c>
      <c r="AO29" s="19"/>
      <c r="AP29" s="224"/>
      <c r="AQ29" s="180" t="s">
        <v>393</v>
      </c>
      <c r="AU29" s="181">
        <f>COUNTIF('Individual Stats'!$O$3:$AW$36, "*" &amp;AQ29  &amp; "*")</f>
        <v>0</v>
      </c>
      <c r="AV29" s="182" t="s">
        <v>343</v>
      </c>
      <c r="AX29" s="183"/>
      <c r="AY29" s="182">
        <v>2.0</v>
      </c>
      <c r="AZ29" s="184"/>
      <c r="BA29" s="162" t="s">
        <v>19</v>
      </c>
      <c r="BB29" s="163"/>
      <c r="BC29" s="163"/>
      <c r="BD29" s="163"/>
      <c r="BE29" s="163"/>
      <c r="BF29" s="163"/>
      <c r="BG29" s="163"/>
      <c r="BH29" s="164">
        <f>sum(BE31*BI31,BE32*BI32,BE33*BI33,BE34*BI34,BE35*BI35)</f>
        <v>10</v>
      </c>
      <c r="BI29" s="165" t="s">
        <v>232</v>
      </c>
      <c r="BJ29" s="213">
        <v>10.0</v>
      </c>
      <c r="BK29" s="17"/>
      <c r="BL29" s="2"/>
    </row>
    <row r="30" ht="18.75" customHeight="1">
      <c r="A30" s="2"/>
      <c r="B30" s="27"/>
      <c r="C30" s="180" t="s">
        <v>394</v>
      </c>
      <c r="G30" s="217">
        <f>COUNTIF('Individual Stats'!$O$3:$AW$36, "*" &amp;C30  &amp; "*")</f>
        <v>0</v>
      </c>
      <c r="H30" s="182" t="s">
        <v>345</v>
      </c>
      <c r="J30" s="183"/>
      <c r="K30" s="182">
        <v>2.0</v>
      </c>
      <c r="L30" s="184"/>
      <c r="M30" s="188" t="s">
        <v>395</v>
      </c>
      <c r="Q30" s="189">
        <f>COUNTIF('Individual Stats'!$O$3:$AW$36, "*" &amp;M30  &amp; "*")</f>
        <v>1</v>
      </c>
      <c r="R30" s="230" t="s">
        <v>376</v>
      </c>
      <c r="T30" s="183"/>
      <c r="U30" s="191">
        <v>3.0</v>
      </c>
      <c r="V30" s="184"/>
      <c r="W30" s="232" t="s">
        <v>396</v>
      </c>
      <c r="AA30" s="189">
        <f>COUNTIF('Individual Stats'!$O$3:$AW$36, "*" &amp;W30  &amp; "*")</f>
        <v>0</v>
      </c>
      <c r="AB30" s="191" t="s">
        <v>397</v>
      </c>
      <c r="AD30" s="183"/>
      <c r="AE30" s="191">
        <v>3.0</v>
      </c>
      <c r="AF30" s="184"/>
      <c r="AG30" s="162" t="s">
        <v>23</v>
      </c>
      <c r="AH30" s="163"/>
      <c r="AI30" s="163"/>
      <c r="AJ30" s="163"/>
      <c r="AK30" s="163"/>
      <c r="AL30" s="163"/>
      <c r="AM30" s="163"/>
      <c r="AN30" s="164">
        <f>sum(AK32*AO32,AK33*AO33)</f>
        <v>8</v>
      </c>
      <c r="AO30" s="165" t="s">
        <v>232</v>
      </c>
      <c r="AP30" s="213">
        <v>8.0</v>
      </c>
      <c r="AQ30" s="180" t="s">
        <v>398</v>
      </c>
      <c r="AU30" s="181">
        <f>COUNTIF('Individual Stats'!$O$3:$AW$36, "*" &amp;AQ30  &amp; "*")</f>
        <v>0</v>
      </c>
      <c r="AV30" s="182" t="s">
        <v>343</v>
      </c>
      <c r="AX30" s="183"/>
      <c r="AY30" s="182">
        <v>1.0</v>
      </c>
      <c r="AZ30" s="184"/>
      <c r="BA30" s="174" t="s">
        <v>233</v>
      </c>
      <c r="BB30" s="161"/>
      <c r="BC30" s="161"/>
      <c r="BD30" s="161"/>
      <c r="BE30" s="175"/>
      <c r="BF30" s="176" t="s">
        <v>234</v>
      </c>
      <c r="BG30" s="161"/>
      <c r="BH30" s="175"/>
      <c r="BI30" s="176" t="s">
        <v>235</v>
      </c>
      <c r="BJ30" s="177"/>
      <c r="BK30" s="17"/>
      <c r="BL30" s="2"/>
    </row>
    <row r="31" ht="18.75" customHeight="1">
      <c r="A31" s="2"/>
      <c r="B31" s="27"/>
      <c r="C31" s="180" t="s">
        <v>399</v>
      </c>
      <c r="G31" s="217">
        <f>COUNTIF('Individual Stats'!$O$3:$AW$36, "*" &amp;C31  &amp; "*")</f>
        <v>4</v>
      </c>
      <c r="H31" s="182" t="s">
        <v>337</v>
      </c>
      <c r="J31" s="183"/>
      <c r="K31" s="182">
        <v>1.0</v>
      </c>
      <c r="L31" s="184"/>
      <c r="M31" s="188" t="s">
        <v>400</v>
      </c>
      <c r="Q31" s="189">
        <f>COUNTIF('Individual Stats'!$O$3:$AW$36, "*" &amp;M31  &amp; "*")</f>
        <v>0</v>
      </c>
      <c r="R31" s="190" t="s">
        <v>376</v>
      </c>
      <c r="T31" s="183"/>
      <c r="U31" s="191">
        <v>3.0</v>
      </c>
      <c r="V31" s="184"/>
      <c r="W31" s="197" t="s">
        <v>261</v>
      </c>
      <c r="X31" s="198"/>
      <c r="Y31" s="199">
        <f>AF23/(0.012389*AE25 + 0.012389*AE26 + 0.005309*AE27 + 3*0.00354*AE28 + 0.00177*AE29 + 0.001365*AE30)</f>
        <v>60.56843476</v>
      </c>
      <c r="Z31" s="200"/>
      <c r="AA31" s="198"/>
      <c r="AB31" s="201" t="s">
        <v>262</v>
      </c>
      <c r="AC31" s="198"/>
      <c r="AD31" s="202">
        <f>Y31/1.75</f>
        <v>34.61053415</v>
      </c>
      <c r="AE31" s="200"/>
      <c r="AF31" s="203"/>
      <c r="AG31" s="174" t="s">
        <v>233</v>
      </c>
      <c r="AH31" s="161"/>
      <c r="AI31" s="161"/>
      <c r="AJ31" s="161"/>
      <c r="AK31" s="175"/>
      <c r="AL31" s="176" t="s">
        <v>234</v>
      </c>
      <c r="AM31" s="161"/>
      <c r="AN31" s="175"/>
      <c r="AO31" s="176" t="s">
        <v>235</v>
      </c>
      <c r="AP31" s="177"/>
      <c r="AQ31" s="180" t="s">
        <v>401</v>
      </c>
      <c r="AU31" s="181">
        <f>COUNTIF('Individual Stats'!$O$3:$AW$36, "*" &amp;AQ31  &amp; "*")</f>
        <v>0</v>
      </c>
      <c r="AV31" s="182" t="s">
        <v>402</v>
      </c>
      <c r="AX31" s="183"/>
      <c r="AY31" s="182">
        <v>2.0</v>
      </c>
      <c r="AZ31" s="184"/>
      <c r="BA31" s="186" t="s">
        <v>403</v>
      </c>
      <c r="BE31" s="181">
        <f>COUNTIF('Individual Stats'!$O$3:$AW$36, "*" &amp;BA31  &amp; "*")</f>
        <v>1</v>
      </c>
      <c r="BF31" s="182" t="s">
        <v>314</v>
      </c>
      <c r="BH31" s="183"/>
      <c r="BI31" s="182">
        <v>1.0</v>
      </c>
      <c r="BJ31" s="184"/>
      <c r="BK31" s="17"/>
      <c r="BL31" s="2"/>
    </row>
    <row r="32" ht="18.75" customHeight="1">
      <c r="A32" s="2"/>
      <c r="B32" s="27"/>
      <c r="C32" s="188" t="s">
        <v>404</v>
      </c>
      <c r="G32" s="227">
        <f>COUNTIF('Individual Stats'!$O$3:$AW$36, C17&amp;" - *" &amp;C32  &amp; "*")</f>
        <v>0</v>
      </c>
      <c r="H32" s="190">
        <v>1132254.0</v>
      </c>
      <c r="J32" s="183"/>
      <c r="K32" s="191">
        <v>3.0</v>
      </c>
      <c r="L32" s="184"/>
      <c r="M32" s="220" t="s">
        <v>261</v>
      </c>
      <c r="N32" s="20"/>
      <c r="O32" s="221">
        <f>V25/(1/200*U27 + 1/600*U28 + 1/250*U29 + 1/1500*U30 + 1/1500*U31)</f>
        <v>562.5</v>
      </c>
      <c r="P32" s="19"/>
      <c r="Q32" s="20"/>
      <c r="R32" s="231" t="s">
        <v>262</v>
      </c>
      <c r="S32" s="20"/>
      <c r="T32" s="223">
        <f>O32/41</f>
        <v>13.7195122</v>
      </c>
      <c r="U32" s="19"/>
      <c r="V32" s="224"/>
      <c r="W32" s="166" t="s">
        <v>22</v>
      </c>
      <c r="X32" s="163"/>
      <c r="Y32" s="163"/>
      <c r="Z32" s="163"/>
      <c r="AA32" s="163"/>
      <c r="AB32" s="163"/>
      <c r="AC32" s="167"/>
      <c r="AD32" s="168">
        <f>sum(AA34*AE34,AA35*AE35,AA36*AE36,AA37*AE37,AA38*AE38,AA39*AE39,AA40*AE40)</f>
        <v>6</v>
      </c>
      <c r="AE32" s="168" t="s">
        <v>232</v>
      </c>
      <c r="AF32" s="169">
        <v>6.0</v>
      </c>
      <c r="AG32" s="180" t="s">
        <v>405</v>
      </c>
      <c r="AK32" s="181">
        <f>COUNTIF('Individual Stats'!$O$3:$AW$36, "*" &amp;AG32  &amp; "*")</f>
        <v>4</v>
      </c>
      <c r="AL32" s="182" t="s">
        <v>406</v>
      </c>
      <c r="AN32" s="183"/>
      <c r="AO32" s="182">
        <v>1.0</v>
      </c>
      <c r="AP32" s="184"/>
      <c r="AQ32" s="180" t="s">
        <v>407</v>
      </c>
      <c r="AU32" s="181">
        <f>COUNTIF('Individual Stats'!$O$3:$AW$36, "*" &amp;AQ32  &amp; "*")</f>
        <v>1</v>
      </c>
      <c r="AV32" s="182" t="s">
        <v>343</v>
      </c>
      <c r="AX32" s="183"/>
      <c r="AY32" s="182">
        <v>1.0</v>
      </c>
      <c r="AZ32" s="184"/>
      <c r="BA32" s="186" t="s">
        <v>408</v>
      </c>
      <c r="BE32" s="181">
        <f>COUNTIF('Individual Stats'!$O$3:$AW$36, "*" &amp;BA32  &amp; "*")</f>
        <v>4</v>
      </c>
      <c r="BF32" s="182" t="s">
        <v>314</v>
      </c>
      <c r="BH32" s="183"/>
      <c r="BI32" s="182">
        <v>1.0</v>
      </c>
      <c r="BJ32" s="184"/>
      <c r="BK32" s="17"/>
      <c r="BL32" s="2"/>
    </row>
    <row r="33" ht="18.75" customHeight="1">
      <c r="A33" s="2"/>
      <c r="B33" s="27"/>
      <c r="C33" s="197" t="s">
        <v>409</v>
      </c>
      <c r="D33" s="198"/>
      <c r="E33" s="199">
        <f>L17/(15/1524*K31 + (9/16129 + 3/381)*K25 + 1/508*K26 + 1/5000*K32)</f>
        <v>511.6460714</v>
      </c>
      <c r="F33" s="200"/>
      <c r="G33" s="198"/>
      <c r="H33" s="201" t="s">
        <v>262</v>
      </c>
      <c r="I33" s="198"/>
      <c r="J33" s="202">
        <f t="shared" ref="J33:J35" si="2">E33/27</f>
        <v>18.9498545</v>
      </c>
      <c r="K33" s="200"/>
      <c r="L33" s="203"/>
      <c r="M33" s="166" t="s">
        <v>27</v>
      </c>
      <c r="N33" s="163"/>
      <c r="O33" s="163"/>
      <c r="P33" s="163"/>
      <c r="Q33" s="163"/>
      <c r="R33" s="163"/>
      <c r="S33" s="167"/>
      <c r="T33" s="168">
        <f>sum(Q35*U35,Q36*U36,Q37*U37,Q38*U38)</f>
        <v>1</v>
      </c>
      <c r="U33" s="168" t="s">
        <v>232</v>
      </c>
      <c r="V33" s="169">
        <v>1.0</v>
      </c>
      <c r="W33" s="178" t="s">
        <v>233</v>
      </c>
      <c r="X33" s="161"/>
      <c r="Y33" s="161"/>
      <c r="Z33" s="161"/>
      <c r="AA33" s="175"/>
      <c r="AB33" s="176" t="s">
        <v>234</v>
      </c>
      <c r="AC33" s="161"/>
      <c r="AD33" s="175"/>
      <c r="AE33" s="176" t="s">
        <v>235</v>
      </c>
      <c r="AF33" s="177"/>
      <c r="AG33" s="180" t="s">
        <v>410</v>
      </c>
      <c r="AK33" s="181">
        <f>COUNTIF('Individual Stats'!$O$3:$AW$36, "*" &amp;AG33  &amp; "*")</f>
        <v>4</v>
      </c>
      <c r="AL33" s="182" t="s">
        <v>385</v>
      </c>
      <c r="AN33" s="183"/>
      <c r="AO33" s="182">
        <v>1.0</v>
      </c>
      <c r="AP33" s="184"/>
      <c r="AQ33" s="180" t="s">
        <v>411</v>
      </c>
      <c r="AU33" s="181">
        <f>COUNTIF('Individual Stats'!$O$3:$AW$36, "*" &amp;AQ33  &amp; "*")</f>
        <v>1</v>
      </c>
      <c r="AV33" s="214">
        <v>1497496.0</v>
      </c>
      <c r="AX33" s="183"/>
      <c r="AY33" s="182">
        <v>2.0</v>
      </c>
      <c r="AZ33" s="184"/>
      <c r="BA33" s="186" t="s">
        <v>412</v>
      </c>
      <c r="BE33" s="215">
        <f>COUNTIF('Individual Stats'!$O$3:$AW$36, "*" &amp;BA33  &amp; "*")</f>
        <v>2</v>
      </c>
      <c r="BF33" s="182" t="s">
        <v>314</v>
      </c>
      <c r="BH33" s="183"/>
      <c r="BI33" s="182">
        <v>1.0</v>
      </c>
      <c r="BJ33" s="184"/>
      <c r="BK33" s="17"/>
      <c r="BL33" s="2"/>
    </row>
    <row r="34" ht="18.75" customHeight="1">
      <c r="A34" s="2"/>
      <c r="B34" s="27"/>
      <c r="C34" s="220" t="s">
        <v>413</v>
      </c>
      <c r="D34" s="20"/>
      <c r="E34" s="221">
        <f>L17/(15/1524*K31 + (9/16256 + 3/381)*K23 + 1/508*K24 + 1/5000*K32)</f>
        <v>511.7729036</v>
      </c>
      <c r="F34" s="19"/>
      <c r="G34" s="20"/>
      <c r="H34" s="231" t="s">
        <v>262</v>
      </c>
      <c r="I34" s="20"/>
      <c r="J34" s="223">
        <f t="shared" si="2"/>
        <v>18.95455198</v>
      </c>
      <c r="K34" s="19"/>
      <c r="L34" s="224"/>
      <c r="M34" s="178" t="s">
        <v>233</v>
      </c>
      <c r="N34" s="161"/>
      <c r="O34" s="161"/>
      <c r="P34" s="161"/>
      <c r="Q34" s="175"/>
      <c r="R34" s="176" t="s">
        <v>234</v>
      </c>
      <c r="S34" s="161"/>
      <c r="T34" s="175"/>
      <c r="U34" s="176" t="s">
        <v>235</v>
      </c>
      <c r="V34" s="177"/>
      <c r="W34" s="180" t="s">
        <v>414</v>
      </c>
      <c r="AA34" s="181">
        <f>COUNTIF('Individual Stats'!$O$3:$AW$36, "*" &amp;W34  &amp; "*")</f>
        <v>3</v>
      </c>
      <c r="AB34" s="182" t="s">
        <v>343</v>
      </c>
      <c r="AD34" s="183"/>
      <c r="AE34" s="182">
        <v>1.0</v>
      </c>
      <c r="AF34" s="184"/>
      <c r="AG34" s="197" t="s">
        <v>261</v>
      </c>
      <c r="AH34" s="198"/>
      <c r="AI34" s="199">
        <f>AP30/(1/600*AO32 + 1/600*AO33)</f>
        <v>2400</v>
      </c>
      <c r="AJ34" s="200"/>
      <c r="AK34" s="198"/>
      <c r="AL34" s="201" t="s">
        <v>262</v>
      </c>
      <c r="AM34" s="198"/>
      <c r="AN34" s="233"/>
      <c r="AO34" s="200"/>
      <c r="AP34" s="203"/>
      <c r="AQ34" s="180" t="s">
        <v>415</v>
      </c>
      <c r="AU34" s="181">
        <f>COUNTIF('Individual Stats'!$O$3:$AW$36, "*" &amp;AQ34  &amp; "*")</f>
        <v>0</v>
      </c>
      <c r="AV34" s="182" t="s">
        <v>243</v>
      </c>
      <c r="AX34" s="183"/>
      <c r="AY34" s="182">
        <v>1.0</v>
      </c>
      <c r="AZ34" s="184"/>
      <c r="BA34" s="186" t="s">
        <v>416</v>
      </c>
      <c r="BE34" s="215">
        <f>COUNTIF('Individual Stats'!$O$3:$AW$36, "*" &amp;BA34  &amp; "*")</f>
        <v>1</v>
      </c>
      <c r="BF34" s="182" t="s">
        <v>314</v>
      </c>
      <c r="BH34" s="183"/>
      <c r="BI34" s="182">
        <v>1.0</v>
      </c>
      <c r="BJ34" s="184"/>
      <c r="BK34" s="17"/>
      <c r="BL34" s="2"/>
    </row>
    <row r="35" ht="18.75" customHeight="1">
      <c r="A35" s="2"/>
      <c r="B35" s="27"/>
      <c r="C35" s="197" t="s">
        <v>417</v>
      </c>
      <c r="D35" s="198"/>
      <c r="E35" s="199">
        <f>L17/(15/1524*K31 + (1/127 + 3/5376)*K19 + 1/508*K22 + 1/254*K20 + 1/508*K21 + 1/5000*K32)</f>
        <v>353.4355021</v>
      </c>
      <c r="F35" s="200"/>
      <c r="G35" s="198"/>
      <c r="H35" s="201" t="s">
        <v>262</v>
      </c>
      <c r="I35" s="198"/>
      <c r="J35" s="219">
        <f t="shared" si="2"/>
        <v>13.09020378</v>
      </c>
      <c r="K35" s="161"/>
      <c r="L35" s="177"/>
      <c r="M35" s="180" t="s">
        <v>418</v>
      </c>
      <c r="Q35" s="181">
        <f>COUNTIF('Individual Stats'!$O$3:$AW$36, "*" &amp;M35  &amp; "*")</f>
        <v>1</v>
      </c>
      <c r="R35" s="182" t="s">
        <v>419</v>
      </c>
      <c r="T35" s="183"/>
      <c r="U35" s="182">
        <v>1.0</v>
      </c>
      <c r="V35" s="184"/>
      <c r="W35" s="180" t="s">
        <v>420</v>
      </c>
      <c r="AA35" s="181">
        <f>COUNTIF('Individual Stats'!$O$3:$AW$36, "*" &amp;W35  &amp; "*")</f>
        <v>1</v>
      </c>
      <c r="AB35" s="234" t="s">
        <v>343</v>
      </c>
      <c r="AD35" s="183"/>
      <c r="AE35" s="234">
        <v>1.0</v>
      </c>
      <c r="AF35" s="184"/>
      <c r="AG35" s="166" t="s">
        <v>29</v>
      </c>
      <c r="AH35" s="163"/>
      <c r="AI35" s="163"/>
      <c r="AJ35" s="163"/>
      <c r="AK35" s="163"/>
      <c r="AL35" s="163"/>
      <c r="AM35" s="167"/>
      <c r="AN35" s="168">
        <f>sum(AK37*AO37,AK38*AO38,AK39*AO39,AK40*AO40)</f>
        <v>9</v>
      </c>
      <c r="AO35" s="168" t="s">
        <v>232</v>
      </c>
      <c r="AP35" s="169">
        <v>6.0</v>
      </c>
      <c r="AQ35" s="180" t="s">
        <v>421</v>
      </c>
      <c r="AU35" s="181">
        <f>COUNTIF('Individual Stats'!$O$3:$AW$36, "*" &amp;AQ35  &amp; "*")</f>
        <v>0</v>
      </c>
      <c r="AV35" s="214" t="s">
        <v>248</v>
      </c>
      <c r="AX35" s="183"/>
      <c r="AY35" s="182">
        <v>1.0</v>
      </c>
      <c r="AZ35" s="184"/>
      <c r="BA35" s="232" t="s">
        <v>422</v>
      </c>
      <c r="BE35" s="235">
        <f>COUNTIF('Individual Stats'!$O$3:$AW$36, "*" &amp;BA35  &amp; "*")</f>
        <v>1</v>
      </c>
      <c r="BF35" s="190" t="s">
        <v>376</v>
      </c>
      <c r="BH35" s="183"/>
      <c r="BI35" s="191">
        <v>2.0</v>
      </c>
      <c r="BJ35" s="184"/>
      <c r="BK35" s="17"/>
      <c r="BL35" s="2"/>
    </row>
    <row r="36" ht="18.75" customHeight="1">
      <c r="A36" s="2"/>
      <c r="B36" s="27"/>
      <c r="C36" s="197" t="s">
        <v>423</v>
      </c>
      <c r="D36" s="198"/>
      <c r="E36" s="199">
        <f>L17/(15/1524*K31 + (1/127 + 3/5376)*K28 + 1/508*K30 + 1/254*K20 + 1/127*K27 + 1/508*K29 + 1/5000*K32)</f>
        <v>353.4355021</v>
      </c>
      <c r="F36" s="200"/>
      <c r="G36" s="198"/>
      <c r="H36" s="201" t="s">
        <v>262</v>
      </c>
      <c r="I36" s="198"/>
      <c r="J36" s="202">
        <f>E36/26</f>
        <v>13.59367316</v>
      </c>
      <c r="K36" s="200"/>
      <c r="L36" s="203"/>
      <c r="M36" s="180" t="s">
        <v>424</v>
      </c>
      <c r="Q36" s="181">
        <f>COUNTIF('Individual Stats'!$O$3:$AW$36, "*" &amp;M36  &amp; "*")</f>
        <v>0</v>
      </c>
      <c r="R36" s="234" t="s">
        <v>425</v>
      </c>
      <c r="T36" s="183"/>
      <c r="U36" s="234">
        <v>1.0</v>
      </c>
      <c r="V36" s="184"/>
      <c r="W36" s="180" t="s">
        <v>426</v>
      </c>
      <c r="AA36" s="181">
        <f>COUNTIF('Individual Stats'!$O$3:$AW$36, "*" &amp;W36  &amp; "*")</f>
        <v>1</v>
      </c>
      <c r="AB36" s="234" t="s">
        <v>343</v>
      </c>
      <c r="AD36" s="183"/>
      <c r="AE36" s="234">
        <v>1.0</v>
      </c>
      <c r="AF36" s="184"/>
      <c r="AG36" s="174" t="s">
        <v>233</v>
      </c>
      <c r="AH36" s="161"/>
      <c r="AI36" s="161"/>
      <c r="AJ36" s="161"/>
      <c r="AK36" s="175"/>
      <c r="AL36" s="176" t="s">
        <v>234</v>
      </c>
      <c r="AM36" s="161"/>
      <c r="AN36" s="175"/>
      <c r="AO36" s="176" t="s">
        <v>235</v>
      </c>
      <c r="AP36" s="177"/>
      <c r="AQ36" s="180" t="s">
        <v>427</v>
      </c>
      <c r="AU36" s="181">
        <f>COUNTIF('Individual Stats'!$O$3:$AW$36, "*" &amp;AQ36  &amp; "*")</f>
        <v>0</v>
      </c>
      <c r="AV36" s="182" t="s">
        <v>397</v>
      </c>
      <c r="AX36" s="183"/>
      <c r="AY36" s="182">
        <v>5.0</v>
      </c>
      <c r="AZ36" s="184"/>
      <c r="BA36" s="197" t="s">
        <v>261</v>
      </c>
      <c r="BB36" s="198"/>
      <c r="BC36" s="199">
        <f>BJ29/(1/75*BI31 + 1/75*BI32 + 1/75*BI33 + 1/75*BI34 + 1/1500*BI35)</f>
        <v>182.9268293</v>
      </c>
      <c r="BD36" s="200"/>
      <c r="BE36" s="198"/>
      <c r="BF36" s="201" t="s">
        <v>262</v>
      </c>
      <c r="BG36" s="198"/>
      <c r="BH36" s="202">
        <f>BC36/20</f>
        <v>9.146341463</v>
      </c>
      <c r="BI36" s="200"/>
      <c r="BJ36" s="203"/>
      <c r="BK36" s="17"/>
      <c r="BL36" s="2"/>
    </row>
    <row r="37" ht="18.75" customHeight="1">
      <c r="A37" s="2"/>
      <c r="B37" s="27"/>
      <c r="C37" s="162" t="s">
        <v>20</v>
      </c>
      <c r="D37" s="163"/>
      <c r="E37" s="163"/>
      <c r="F37" s="163"/>
      <c r="G37" s="163"/>
      <c r="H37" s="163"/>
      <c r="I37" s="163"/>
      <c r="J37" s="164">
        <f>sum(G39*K39,G40*K40,G41*K41)</f>
        <v>1</v>
      </c>
      <c r="K37" s="165" t="s">
        <v>232</v>
      </c>
      <c r="L37" s="213">
        <v>1.0</v>
      </c>
      <c r="M37" s="180" t="s">
        <v>428</v>
      </c>
      <c r="Q37" s="181">
        <f>COUNTIF('Individual Stats'!$O$3:$AW$36, M33 &amp; " - *" &amp;M37  &amp; "*")</f>
        <v>0</v>
      </c>
      <c r="R37" s="236">
        <v>2227981.0</v>
      </c>
      <c r="T37" s="183"/>
      <c r="U37" s="234">
        <v>1.0</v>
      </c>
      <c r="V37" s="184"/>
      <c r="W37" s="180" t="s">
        <v>428</v>
      </c>
      <c r="AA37" s="181">
        <f>COUNTIF('Individual Stats'!$O$3:$AW$36, W32 &amp; " - *" &amp;W37  &amp; "*")</f>
        <v>1</v>
      </c>
      <c r="AB37" s="234" t="s">
        <v>343</v>
      </c>
      <c r="AD37" s="183"/>
      <c r="AE37" s="234">
        <v>1.0</v>
      </c>
      <c r="AF37" s="184"/>
      <c r="AG37" s="186" t="s">
        <v>429</v>
      </c>
      <c r="AK37" s="181">
        <f>COUNTIF('Individual Stats'!$O$3:$AW$36, "*" &amp;AG37  &amp; "*")</f>
        <v>5</v>
      </c>
      <c r="AL37" s="182" t="s">
        <v>322</v>
      </c>
      <c r="AN37" s="183"/>
      <c r="AO37" s="182">
        <v>1.0</v>
      </c>
      <c r="AP37" s="184"/>
      <c r="AQ37" s="180" t="s">
        <v>430</v>
      </c>
      <c r="AU37" s="181">
        <f>COUNTIF('Individual Stats'!$O$3:$AW$36, "*" &amp;AQ37  &amp; "*")</f>
        <v>0</v>
      </c>
      <c r="AV37" s="182" t="s">
        <v>397</v>
      </c>
      <c r="AX37" s="183"/>
      <c r="AY37" s="182">
        <v>5.0</v>
      </c>
      <c r="AZ37" s="184"/>
      <c r="BA37" s="166" t="s">
        <v>25</v>
      </c>
      <c r="BB37" s="163"/>
      <c r="BC37" s="163"/>
      <c r="BD37" s="163"/>
      <c r="BE37" s="163"/>
      <c r="BF37" s="163"/>
      <c r="BG37" s="167"/>
      <c r="BH37" s="168">
        <f>sum(BE39*BI39)</f>
        <v>5</v>
      </c>
      <c r="BI37" s="168" t="s">
        <v>232</v>
      </c>
      <c r="BJ37" s="169">
        <v>5.0</v>
      </c>
      <c r="BK37" s="17"/>
      <c r="BL37" s="2"/>
    </row>
    <row r="38" ht="18.75" customHeight="1">
      <c r="A38" s="2"/>
      <c r="B38" s="27"/>
      <c r="C38" s="174" t="s">
        <v>233</v>
      </c>
      <c r="D38" s="161"/>
      <c r="E38" s="161"/>
      <c r="F38" s="161"/>
      <c r="G38" s="175"/>
      <c r="H38" s="176" t="s">
        <v>234</v>
      </c>
      <c r="I38" s="161"/>
      <c r="J38" s="175"/>
      <c r="K38" s="176" t="s">
        <v>235</v>
      </c>
      <c r="L38" s="177"/>
      <c r="M38" s="211" t="s">
        <v>431</v>
      </c>
      <c r="Q38" s="189">
        <f>COUNTIF('Individual Stats'!$O$3:$AW$36, "*" &amp;M38  &amp; "*")</f>
        <v>0</v>
      </c>
      <c r="R38" s="237">
        <v>127837.0</v>
      </c>
      <c r="T38" s="183"/>
      <c r="U38" s="238">
        <v>1.0</v>
      </c>
      <c r="V38" s="184"/>
      <c r="W38" s="180" t="s">
        <v>432</v>
      </c>
      <c r="AA38" s="181">
        <f>COUNTIF('Individual Stats'!$O$3:$AW$36, "*" &amp;W38  &amp; "*")</f>
        <v>0</v>
      </c>
      <c r="AB38" s="236">
        <v>502211.0</v>
      </c>
      <c r="AD38" s="183"/>
      <c r="AE38" s="234">
        <v>3.0</v>
      </c>
      <c r="AF38" s="184"/>
      <c r="AG38" s="186" t="s">
        <v>433</v>
      </c>
      <c r="AK38" s="181">
        <f>COUNTIF('Individual Stats'!$O$3:$AW$36, "*" &amp;AG38  &amp; "*")</f>
        <v>1</v>
      </c>
      <c r="AL38" s="182" t="s">
        <v>322</v>
      </c>
      <c r="AN38" s="183"/>
      <c r="AO38" s="182">
        <v>1.0</v>
      </c>
      <c r="AP38" s="184"/>
      <c r="AQ38" s="197" t="s">
        <v>434</v>
      </c>
      <c r="AR38" s="200"/>
      <c r="AS38" s="200"/>
      <c r="AT38" s="200"/>
      <c r="AU38" s="200"/>
      <c r="AV38" s="200"/>
      <c r="AW38" s="200"/>
      <c r="AX38" s="200"/>
      <c r="AY38" s="200"/>
      <c r="AZ38" s="203"/>
      <c r="BA38" s="174" t="s">
        <v>233</v>
      </c>
      <c r="BB38" s="161"/>
      <c r="BC38" s="161"/>
      <c r="BD38" s="161"/>
      <c r="BE38" s="175"/>
      <c r="BF38" s="176" t="s">
        <v>234</v>
      </c>
      <c r="BG38" s="161"/>
      <c r="BH38" s="175"/>
      <c r="BI38" s="176" t="s">
        <v>235</v>
      </c>
      <c r="BJ38" s="177"/>
      <c r="BK38" s="17"/>
      <c r="BL38" s="2"/>
    </row>
    <row r="39" ht="18.75" customHeight="1">
      <c r="A39" s="2"/>
      <c r="B39" s="27"/>
      <c r="C39" s="180" t="s">
        <v>435</v>
      </c>
      <c r="G39" s="181">
        <f>COUNTIF('Individual Stats'!$O$3:$AW$36, "*" &amp;C39  &amp; "*")</f>
        <v>1</v>
      </c>
      <c r="H39" s="214" t="s">
        <v>248</v>
      </c>
      <c r="J39" s="183"/>
      <c r="K39" s="182">
        <v>1.0</v>
      </c>
      <c r="L39" s="184"/>
      <c r="M39" s="239" t="s">
        <v>261</v>
      </c>
      <c r="N39" s="198"/>
      <c r="O39" s="199">
        <f>V33/(1/15 * (1/205.2*U35 + 1/8000*U37) + 1/1200*U36 + 1/2250*U38)</f>
        <v>620.7334658</v>
      </c>
      <c r="P39" s="200"/>
      <c r="Q39" s="198"/>
      <c r="R39" s="201" t="s">
        <v>262</v>
      </c>
      <c r="S39" s="198"/>
      <c r="T39" s="202">
        <f>O39/48</f>
        <v>12.9319472</v>
      </c>
      <c r="U39" s="200"/>
      <c r="V39" s="203"/>
      <c r="W39" s="211" t="s">
        <v>436</v>
      </c>
      <c r="AA39" s="189">
        <f>COUNTIF('Individual Stats'!$O$3:$AW$36, "*" &amp;W39  &amp; "*")</f>
        <v>0</v>
      </c>
      <c r="AB39" s="237">
        <v>401769.0</v>
      </c>
      <c r="AD39" s="183"/>
      <c r="AE39" s="238">
        <v>2.0</v>
      </c>
      <c r="AF39" s="184"/>
      <c r="AG39" s="186" t="s">
        <v>437</v>
      </c>
      <c r="AK39" s="215">
        <f>COUNTIF('Individual Stats'!$O$3:$AW$36, "*" &amp;AG39  &amp; "*")</f>
        <v>1</v>
      </c>
      <c r="AL39" s="182" t="s">
        <v>267</v>
      </c>
      <c r="AN39" s="183"/>
      <c r="AO39" s="182">
        <v>3.0</v>
      </c>
      <c r="AP39" s="184"/>
      <c r="AQ39" s="166" t="s">
        <v>18</v>
      </c>
      <c r="AR39" s="163"/>
      <c r="AS39" s="163"/>
      <c r="AT39" s="163"/>
      <c r="AU39" s="163"/>
      <c r="AV39" s="163"/>
      <c r="AW39" s="167"/>
      <c r="AX39" s="168">
        <f>sum(AU41*AY41,AU42*AY42)</f>
        <v>6</v>
      </c>
      <c r="AY39" s="168" t="s">
        <v>232</v>
      </c>
      <c r="AZ39" s="169">
        <v>5.0</v>
      </c>
      <c r="BA39" s="180" t="s">
        <v>438</v>
      </c>
      <c r="BE39" s="181">
        <f>COUNTIF('Individual Stats'!$O$3:$AW$36, "*" &amp;BA39  &amp; "*")</f>
        <v>5</v>
      </c>
      <c r="BF39" s="182" t="s">
        <v>305</v>
      </c>
      <c r="BH39" s="183"/>
      <c r="BI39" s="182">
        <v>1.0</v>
      </c>
      <c r="BJ39" s="184"/>
      <c r="BK39" s="17"/>
      <c r="BL39" s="2"/>
    </row>
    <row r="40" ht="18.75" customHeight="1">
      <c r="A40" s="2"/>
      <c r="B40" s="27"/>
      <c r="C40" s="180" t="s">
        <v>439</v>
      </c>
      <c r="G40" s="181">
        <f>COUNTIF('Individual Stats'!$O$3:$AW$36, C37&amp;" - *" &amp;C40  &amp; "*")</f>
        <v>0</v>
      </c>
      <c r="H40" s="182" t="s">
        <v>440</v>
      </c>
      <c r="J40" s="183"/>
      <c r="K40" s="182">
        <v>1.0</v>
      </c>
      <c r="L40" s="184"/>
      <c r="M40" s="162" t="s">
        <v>33</v>
      </c>
      <c r="N40" s="163"/>
      <c r="O40" s="163"/>
      <c r="P40" s="163"/>
      <c r="Q40" s="163"/>
      <c r="R40" s="163"/>
      <c r="S40" s="163"/>
      <c r="T40" s="164">
        <f>sum(Q42*U42,Q43*U43,Q44*U44,Q45*U45,Q46*U46,Q47*U47)</f>
        <v>12</v>
      </c>
      <c r="U40" s="165" t="s">
        <v>232</v>
      </c>
      <c r="V40" s="213">
        <v>12.0</v>
      </c>
      <c r="W40" s="211" t="s">
        <v>441</v>
      </c>
      <c r="AA40" s="189">
        <f>COUNTIF('Individual Stats'!$O$3:$AW$36, "*" &amp;W40  &amp; "*")</f>
        <v>0</v>
      </c>
      <c r="AB40" s="237">
        <v>767011.0</v>
      </c>
      <c r="AD40" s="183"/>
      <c r="AE40" s="238">
        <v>2.0</v>
      </c>
      <c r="AF40" s="184"/>
      <c r="AG40" s="186" t="s">
        <v>442</v>
      </c>
      <c r="AK40" s="181">
        <f>COUNTIF('Individual Stats'!$O$3:$AW$36, "*" &amp;AG40  &amp; "*")</f>
        <v>0</v>
      </c>
      <c r="AL40" s="182" t="s">
        <v>402</v>
      </c>
      <c r="AN40" s="183"/>
      <c r="AO40" s="182">
        <v>3.0</v>
      </c>
      <c r="AP40" s="184"/>
      <c r="AQ40" s="174" t="s">
        <v>233</v>
      </c>
      <c r="AR40" s="161"/>
      <c r="AS40" s="161"/>
      <c r="AT40" s="161"/>
      <c r="AU40" s="175"/>
      <c r="AV40" s="176" t="s">
        <v>234</v>
      </c>
      <c r="AW40" s="161"/>
      <c r="AX40" s="175"/>
      <c r="AY40" s="176" t="s">
        <v>235</v>
      </c>
      <c r="AZ40" s="177"/>
      <c r="BA40" s="197" t="s">
        <v>261</v>
      </c>
      <c r="BB40" s="198"/>
      <c r="BC40" s="199">
        <f>BJ37/(1/100*BI39)</f>
        <v>500</v>
      </c>
      <c r="BD40" s="200"/>
      <c r="BE40" s="198"/>
      <c r="BF40" s="201" t="s">
        <v>262</v>
      </c>
      <c r="BG40" s="198"/>
      <c r="BH40" s="202">
        <f>BC40/39</f>
        <v>12.82051282</v>
      </c>
      <c r="BI40" s="200"/>
      <c r="BJ40" s="203"/>
      <c r="BK40" s="17"/>
      <c r="BL40" s="2"/>
    </row>
    <row r="41" ht="18.75" customHeight="1">
      <c r="A41" s="2"/>
      <c r="B41" s="27"/>
      <c r="C41" s="188" t="s">
        <v>443</v>
      </c>
      <c r="G41" s="189">
        <f>COUNTIF('Individual Stats'!$O$3:$AW$36, "*" &amp;C41  &amp; "*")</f>
        <v>0</v>
      </c>
      <c r="H41" s="190">
        <v>1132254.0</v>
      </c>
      <c r="J41" s="183"/>
      <c r="K41" s="191">
        <v>1.0</v>
      </c>
      <c r="L41" s="184"/>
      <c r="M41" s="174" t="s">
        <v>233</v>
      </c>
      <c r="N41" s="161"/>
      <c r="O41" s="161"/>
      <c r="P41" s="161"/>
      <c r="Q41" s="175"/>
      <c r="R41" s="176" t="s">
        <v>234</v>
      </c>
      <c r="S41" s="161"/>
      <c r="T41" s="175"/>
      <c r="U41" s="176" t="s">
        <v>235</v>
      </c>
      <c r="V41" s="177"/>
      <c r="W41" s="239" t="s">
        <v>261</v>
      </c>
      <c r="X41" s="198"/>
      <c r="Y41" s="199">
        <f>AF32/(1/512*AE34 + 1/512*AE35 + 1/512*AE36 + 1/512*AE37 + 2/6551*AE38 + 1/3000*AE39 + 1/4000*AE40)</f>
        <v>606.3633363</v>
      </c>
      <c r="Z41" s="200"/>
      <c r="AA41" s="198"/>
      <c r="AB41" s="201" t="s">
        <v>262</v>
      </c>
      <c r="AC41" s="198"/>
      <c r="AD41" s="202">
        <f>Y41/35</f>
        <v>17.32466675</v>
      </c>
      <c r="AE41" s="200"/>
      <c r="AF41" s="203"/>
      <c r="AG41" s="197" t="s">
        <v>261</v>
      </c>
      <c r="AH41" s="198"/>
      <c r="AI41" s="199">
        <f>AP35/(1/50*AO37 + 1/50*AO38 + 1/400*AO39 + 1/800*AO40)</f>
        <v>117.0731707</v>
      </c>
      <c r="AJ41" s="200"/>
      <c r="AK41" s="198"/>
      <c r="AL41" s="201" t="s">
        <v>262</v>
      </c>
      <c r="AM41" s="198"/>
      <c r="AN41" s="202">
        <f>AI41/6</f>
        <v>19.51219512</v>
      </c>
      <c r="AO41" s="200"/>
      <c r="AP41" s="203"/>
      <c r="AQ41" s="180" t="s">
        <v>444</v>
      </c>
      <c r="AU41" s="181">
        <f>COUNTIF('Individual Stats'!$O$3:$AW$36, "*" &amp;AQ41  &amp; "*")</f>
        <v>4</v>
      </c>
      <c r="AV41" s="182" t="s">
        <v>305</v>
      </c>
      <c r="AX41" s="183"/>
      <c r="AY41" s="182">
        <v>1.0</v>
      </c>
      <c r="AZ41" s="184"/>
      <c r="BA41" s="170" t="s">
        <v>31</v>
      </c>
      <c r="BB41" s="163"/>
      <c r="BC41" s="163"/>
      <c r="BD41" s="163"/>
      <c r="BE41" s="163"/>
      <c r="BF41" s="163"/>
      <c r="BG41" s="163"/>
      <c r="BH41" s="171">
        <f>sum(BE43*BI43,BE44*BI44,BE45*BI45)</f>
        <v>1</v>
      </c>
      <c r="BI41" s="172" t="s">
        <v>232</v>
      </c>
      <c r="BJ41" s="173">
        <v>2.0</v>
      </c>
      <c r="BK41" s="17"/>
      <c r="BL41" s="2"/>
    </row>
    <row r="42" ht="18.75" customHeight="1">
      <c r="A42" s="2"/>
      <c r="B42" s="27"/>
      <c r="C42" s="197" t="s">
        <v>261</v>
      </c>
      <c r="D42" s="198"/>
      <c r="E42" s="199">
        <f>L37/(1/1000*K39 + 1/10000*K40 + 1/5000*K41)</f>
        <v>769.2307692</v>
      </c>
      <c r="F42" s="200"/>
      <c r="G42" s="198"/>
      <c r="H42" s="201" t="s">
        <v>262</v>
      </c>
      <c r="I42" s="198"/>
      <c r="J42" s="202">
        <f>E42/45</f>
        <v>17.09401709</v>
      </c>
      <c r="K42" s="200"/>
      <c r="L42" s="203"/>
      <c r="M42" s="180" t="s">
        <v>445</v>
      </c>
      <c r="Q42" s="181">
        <f>COUNTIF('Individual Stats'!$O$3:$AW$36, "*" &amp;M42  &amp; "*")</f>
        <v>1</v>
      </c>
      <c r="R42" s="182" t="s">
        <v>265</v>
      </c>
      <c r="T42" s="183"/>
      <c r="U42" s="182">
        <v>1.0</v>
      </c>
      <c r="V42" s="184"/>
      <c r="W42" s="162" t="s">
        <v>28</v>
      </c>
      <c r="X42" s="163"/>
      <c r="Y42" s="163"/>
      <c r="Z42" s="163"/>
      <c r="AA42" s="163"/>
      <c r="AB42" s="163"/>
      <c r="AC42" s="163"/>
      <c r="AD42" s="164">
        <f>sum(AA44*AE44,AA45*AE45)</f>
        <v>10</v>
      </c>
      <c r="AE42" s="165" t="s">
        <v>232</v>
      </c>
      <c r="AF42" s="213">
        <v>10.0</v>
      </c>
      <c r="AG42" s="170" t="s">
        <v>35</v>
      </c>
      <c r="AH42" s="163"/>
      <c r="AI42" s="163"/>
      <c r="AJ42" s="163"/>
      <c r="AK42" s="163"/>
      <c r="AL42" s="163"/>
      <c r="AM42" s="163"/>
      <c r="AN42" s="171">
        <f>SUM(AK44*AO44, AK45*AO45, AK46*AO46, AK47*AO47, AK48*AO48, AK49*AO49, AK50*AO50, AK51*AO51)</f>
        <v>10</v>
      </c>
      <c r="AO42" s="172" t="s">
        <v>232</v>
      </c>
      <c r="AP42" s="173">
        <v>10.0</v>
      </c>
      <c r="AQ42" s="180" t="s">
        <v>446</v>
      </c>
      <c r="AU42" s="181">
        <f>COUNTIF('Individual Stats'!$O$3:$AW$36, "*" &amp;AQ42  &amp; "*")</f>
        <v>1</v>
      </c>
      <c r="AV42" s="214">
        <v>219148.0</v>
      </c>
      <c r="AX42" s="183"/>
      <c r="AY42" s="182">
        <v>2.0</v>
      </c>
      <c r="AZ42" s="184"/>
      <c r="BA42" s="174" t="s">
        <v>233</v>
      </c>
      <c r="BB42" s="161"/>
      <c r="BC42" s="161"/>
      <c r="BD42" s="161"/>
      <c r="BE42" s="175"/>
      <c r="BF42" s="176" t="s">
        <v>234</v>
      </c>
      <c r="BG42" s="161"/>
      <c r="BH42" s="175"/>
      <c r="BI42" s="176" t="s">
        <v>235</v>
      </c>
      <c r="BJ42" s="177"/>
      <c r="BK42" s="17"/>
      <c r="BL42" s="2"/>
    </row>
    <row r="43" ht="18.75" customHeight="1">
      <c r="A43" s="2"/>
      <c r="B43" s="27"/>
      <c r="C43" s="170" t="s">
        <v>26</v>
      </c>
      <c r="D43" s="163"/>
      <c r="E43" s="163"/>
      <c r="F43" s="163"/>
      <c r="G43" s="163"/>
      <c r="H43" s="163"/>
      <c r="I43" s="163"/>
      <c r="J43" s="171">
        <f>sum(G45*K45,G46*K46,G47*K47,G48*K48,G49*K49,G50*K50)</f>
        <v>7</v>
      </c>
      <c r="K43" s="172" t="s">
        <v>232</v>
      </c>
      <c r="L43" s="173">
        <v>6.0</v>
      </c>
      <c r="M43" s="180" t="s">
        <v>447</v>
      </c>
      <c r="Q43" s="181">
        <f>COUNTIF('Individual Stats'!$O$3:$AW$36, "*" &amp;M43  &amp; "*")</f>
        <v>0</v>
      </c>
      <c r="R43" s="182" t="s">
        <v>265</v>
      </c>
      <c r="T43" s="183"/>
      <c r="U43" s="182">
        <v>1.0</v>
      </c>
      <c r="V43" s="184"/>
      <c r="W43" s="174" t="s">
        <v>233</v>
      </c>
      <c r="X43" s="161"/>
      <c r="Y43" s="161"/>
      <c r="Z43" s="161"/>
      <c r="AA43" s="175"/>
      <c r="AB43" s="176" t="s">
        <v>234</v>
      </c>
      <c r="AC43" s="161"/>
      <c r="AD43" s="175"/>
      <c r="AE43" s="176" t="s">
        <v>235</v>
      </c>
      <c r="AF43" s="177"/>
      <c r="AG43" s="174" t="s">
        <v>233</v>
      </c>
      <c r="AH43" s="161"/>
      <c r="AI43" s="161"/>
      <c r="AJ43" s="161"/>
      <c r="AK43" s="175"/>
      <c r="AL43" s="176" t="s">
        <v>234</v>
      </c>
      <c r="AM43" s="161"/>
      <c r="AN43" s="175"/>
      <c r="AO43" s="176" t="s">
        <v>235</v>
      </c>
      <c r="AP43" s="177"/>
      <c r="AQ43" s="197" t="s">
        <v>261</v>
      </c>
      <c r="AR43" s="198"/>
      <c r="AS43" s="199">
        <f>AZ39/(1/100*AY41 + 1/2500*AY42)</f>
        <v>462.962963</v>
      </c>
      <c r="AT43" s="200"/>
      <c r="AU43" s="198"/>
      <c r="AV43" s="201" t="s">
        <v>262</v>
      </c>
      <c r="AW43" s="198"/>
      <c r="AX43" s="202">
        <f>AS43/25</f>
        <v>18.51851852</v>
      </c>
      <c r="AY43" s="200"/>
      <c r="AZ43" s="203"/>
      <c r="BA43" s="180" t="s">
        <v>448</v>
      </c>
      <c r="BE43" s="181">
        <f>COUNTIF('Individual Stats'!$O$3:$AW$36, "*" &amp;BA43  &amp; "*")</f>
        <v>1</v>
      </c>
      <c r="BF43" s="182" t="s">
        <v>449</v>
      </c>
      <c r="BH43" s="183"/>
      <c r="BI43" s="182">
        <v>1.0</v>
      </c>
      <c r="BJ43" s="184"/>
      <c r="BK43" s="17"/>
      <c r="BL43" s="2"/>
    </row>
    <row r="44" ht="18.75" customHeight="1">
      <c r="A44" s="2"/>
      <c r="B44" s="27"/>
      <c r="C44" s="174" t="s">
        <v>233</v>
      </c>
      <c r="D44" s="161"/>
      <c r="E44" s="161"/>
      <c r="F44" s="161"/>
      <c r="G44" s="175"/>
      <c r="H44" s="176" t="s">
        <v>234</v>
      </c>
      <c r="I44" s="161"/>
      <c r="J44" s="175"/>
      <c r="K44" s="176" t="s">
        <v>235</v>
      </c>
      <c r="L44" s="177"/>
      <c r="M44" s="180" t="s">
        <v>450</v>
      </c>
      <c r="Q44" s="181">
        <f>COUNTIF('Individual Stats'!$O$3:$AW$36, "*" &amp;M44  &amp; "*")</f>
        <v>3</v>
      </c>
      <c r="R44" s="182" t="s">
        <v>265</v>
      </c>
      <c r="T44" s="183"/>
      <c r="U44" s="182">
        <v>1.0</v>
      </c>
      <c r="V44" s="184"/>
      <c r="W44" s="180" t="s">
        <v>451</v>
      </c>
      <c r="AA44" s="181">
        <f>COUNTIF('Individual Stats'!$O$3:$AW$36, "*" &amp;W44  &amp; "*")</f>
        <v>10</v>
      </c>
      <c r="AB44" s="182" t="s">
        <v>452</v>
      </c>
      <c r="AD44" s="183"/>
      <c r="AE44" s="182">
        <v>1.0</v>
      </c>
      <c r="AF44" s="184"/>
      <c r="AG44" s="180" t="s">
        <v>453</v>
      </c>
      <c r="AK44" s="181">
        <f>COUNTIF('Individual Stats'!$O$3:$AW$36, "*" &amp;AG44  &amp; "*")</f>
        <v>3</v>
      </c>
      <c r="AL44" s="182" t="s">
        <v>397</v>
      </c>
      <c r="AN44" s="183"/>
      <c r="AO44" s="182">
        <v>1.0</v>
      </c>
      <c r="AP44" s="184"/>
      <c r="AQ44" s="170" t="s">
        <v>24</v>
      </c>
      <c r="AR44" s="163"/>
      <c r="AS44" s="163"/>
      <c r="AT44" s="163"/>
      <c r="AU44" s="163"/>
      <c r="AV44" s="163"/>
      <c r="AW44" s="163"/>
      <c r="AX44" s="171">
        <f>sum(AU46*AY46,AU47*AY47,AU48*AY48,AU49*AY49)</f>
        <v>3</v>
      </c>
      <c r="AY44" s="172" t="s">
        <v>232</v>
      </c>
      <c r="AZ44" s="173">
        <v>3.0</v>
      </c>
      <c r="BA44" s="216" t="s">
        <v>454</v>
      </c>
      <c r="BE44" s="181">
        <f>COUNTIF('Individual Stats'!$O$3:$AW$36, "*" &amp;BA44  &amp; "*")</f>
        <v>0</v>
      </c>
      <c r="BF44" s="182" t="s">
        <v>245</v>
      </c>
      <c r="BH44" s="183"/>
      <c r="BI44" s="182">
        <v>1.0</v>
      </c>
      <c r="BJ44" s="184"/>
      <c r="BK44" s="17"/>
      <c r="BL44" s="2"/>
    </row>
    <row r="45" ht="18.75" customHeight="1">
      <c r="A45" s="2"/>
      <c r="B45" s="27"/>
      <c r="C45" s="186" t="s">
        <v>455</v>
      </c>
      <c r="G45" s="181">
        <f>COUNTIF('Individual Stats'!$O$3:$AW$36, "*" &amp;C45  &amp; "*")</f>
        <v>0</v>
      </c>
      <c r="H45" s="182" t="s">
        <v>456</v>
      </c>
      <c r="J45" s="183"/>
      <c r="K45" s="182">
        <v>1.0</v>
      </c>
      <c r="L45" s="184"/>
      <c r="M45" s="180" t="s">
        <v>457</v>
      </c>
      <c r="Q45" s="181">
        <f>COUNTIF('Individual Stats'!$O$3:$AW$36, "*" &amp;M45  &amp; "*")</f>
        <v>3</v>
      </c>
      <c r="R45" s="182" t="s">
        <v>265</v>
      </c>
      <c r="T45" s="183"/>
      <c r="U45" s="182">
        <v>1.0</v>
      </c>
      <c r="V45" s="184"/>
      <c r="W45" s="180" t="s">
        <v>458</v>
      </c>
      <c r="AA45" s="181">
        <f>COUNTIF('Individual Stats'!$O$3:$AW$36, "*" &amp;W45  &amp; "*")</f>
        <v>0</v>
      </c>
      <c r="AB45" s="214">
        <v>401769.0</v>
      </c>
      <c r="AD45" s="183"/>
      <c r="AE45" s="182">
        <v>3.0</v>
      </c>
      <c r="AF45" s="184"/>
      <c r="AG45" s="180" t="s">
        <v>459</v>
      </c>
      <c r="AK45" s="181">
        <f>COUNTIF('Individual Stats'!$O$3:$AW$36, "*" &amp;AG45  &amp; "*")</f>
        <v>1</v>
      </c>
      <c r="AL45" s="182" t="s">
        <v>397</v>
      </c>
      <c r="AN45" s="183"/>
      <c r="AO45" s="182">
        <v>2.0</v>
      </c>
      <c r="AP45" s="184"/>
      <c r="AQ45" s="174" t="s">
        <v>233</v>
      </c>
      <c r="AR45" s="161"/>
      <c r="AS45" s="161"/>
      <c r="AT45" s="161"/>
      <c r="AU45" s="175"/>
      <c r="AV45" s="176" t="s">
        <v>234</v>
      </c>
      <c r="AW45" s="161"/>
      <c r="AX45" s="175"/>
      <c r="AY45" s="176" t="s">
        <v>235</v>
      </c>
      <c r="AZ45" s="177"/>
      <c r="BA45" s="232" t="s">
        <v>460</v>
      </c>
      <c r="BE45" s="235">
        <f>COUNTIF('Individual Stats'!$O$3:$AW$36, "*" &amp;BA45  &amp; "*")</f>
        <v>0</v>
      </c>
      <c r="BF45" s="190">
        <v>584390.0</v>
      </c>
      <c r="BH45" s="183"/>
      <c r="BI45" s="191">
        <v>2.0</v>
      </c>
      <c r="BJ45" s="184"/>
      <c r="BK45" s="17"/>
      <c r="BL45" s="2"/>
    </row>
    <row r="46" ht="18.75" customHeight="1">
      <c r="A46" s="2"/>
      <c r="B46" s="27"/>
      <c r="C46" s="186" t="s">
        <v>461</v>
      </c>
      <c r="G46" s="181">
        <f>COUNTIF('Individual Stats'!$O$3:$AW$36, "*" &amp;C46  &amp; "*")</f>
        <v>0</v>
      </c>
      <c r="H46" s="182" t="s">
        <v>462</v>
      </c>
      <c r="J46" s="183"/>
      <c r="K46" s="182">
        <v>2.0</v>
      </c>
      <c r="L46" s="184"/>
      <c r="M46" s="180" t="s">
        <v>463</v>
      </c>
      <c r="Q46" s="181">
        <f>COUNTIF('Individual Stats'!$O$3:$AW$36, "*" &amp;M46  &amp; "*")</f>
        <v>2</v>
      </c>
      <c r="R46" s="182" t="s">
        <v>265</v>
      </c>
      <c r="T46" s="183"/>
      <c r="U46" s="182">
        <v>1.0</v>
      </c>
      <c r="V46" s="184"/>
      <c r="W46" s="197" t="s">
        <v>261</v>
      </c>
      <c r="X46" s="198"/>
      <c r="Y46" s="199">
        <f>AF42/(1/33*AE44 + 1/3000*AE45)</f>
        <v>319.4578896</v>
      </c>
      <c r="Z46" s="200"/>
      <c r="AA46" s="198"/>
      <c r="AB46" s="201" t="s">
        <v>262</v>
      </c>
      <c r="AC46" s="198"/>
      <c r="AD46" s="202">
        <f>Y46/40</f>
        <v>7.986447241</v>
      </c>
      <c r="AE46" s="200"/>
      <c r="AF46" s="203"/>
      <c r="AG46" s="180" t="s">
        <v>464</v>
      </c>
      <c r="AK46" s="181">
        <f>COUNTIF('Individual Stats'!$O$3:$AW$36, "*" &amp;AG46  &amp; "*")</f>
        <v>0</v>
      </c>
      <c r="AL46" s="182" t="s">
        <v>397</v>
      </c>
      <c r="AN46" s="183"/>
      <c r="AO46" s="182">
        <v>1.0</v>
      </c>
      <c r="AP46" s="184"/>
      <c r="AQ46" s="180" t="s">
        <v>465</v>
      </c>
      <c r="AU46" s="181">
        <f>COUNTIF('Individual Stats'!$O$3:$AW$36, "*" &amp;AQ46  &amp; "*")</f>
        <v>0</v>
      </c>
      <c r="AV46" s="182" t="s">
        <v>397</v>
      </c>
      <c r="AX46" s="183"/>
      <c r="AY46" s="182">
        <v>2.0</v>
      </c>
      <c r="AZ46" s="184"/>
      <c r="BA46" s="197" t="s">
        <v>261</v>
      </c>
      <c r="BB46" s="198"/>
      <c r="BC46" s="199">
        <f>BJ41/(1/340*BI43 + 1/520*BI44 + 1/3500*BI45)</f>
        <v>367.9391129</v>
      </c>
      <c r="BD46" s="200"/>
      <c r="BE46" s="198"/>
      <c r="BF46" s="201" t="s">
        <v>262</v>
      </c>
      <c r="BG46" s="198"/>
      <c r="BH46" s="202">
        <f>BC46/25</f>
        <v>14.71756451</v>
      </c>
      <c r="BI46" s="200"/>
      <c r="BJ46" s="203"/>
      <c r="BK46" s="17"/>
      <c r="BL46" s="2"/>
    </row>
    <row r="47" ht="18.75" customHeight="1">
      <c r="A47" s="2"/>
      <c r="B47" s="27"/>
      <c r="C47" s="186" t="s">
        <v>466</v>
      </c>
      <c r="G47" s="181">
        <f>COUNTIF('Individual Stats'!$O$3:$AW$36, "*" &amp;C47  &amp; "*")</f>
        <v>2</v>
      </c>
      <c r="H47" s="182" t="s">
        <v>467</v>
      </c>
      <c r="J47" s="183"/>
      <c r="K47" s="182">
        <v>2.0</v>
      </c>
      <c r="L47" s="184"/>
      <c r="M47" s="180" t="s">
        <v>468</v>
      </c>
      <c r="Q47" s="181">
        <f>COUNTIF('Individual Stats'!$O$3:$AW$36, "*" &amp;M47  &amp; "*")</f>
        <v>3</v>
      </c>
      <c r="R47" s="182" t="s">
        <v>265</v>
      </c>
      <c r="T47" s="183"/>
      <c r="U47" s="182">
        <v>1.0</v>
      </c>
      <c r="V47" s="184"/>
      <c r="W47" s="170" t="s">
        <v>34</v>
      </c>
      <c r="X47" s="163"/>
      <c r="Y47" s="163"/>
      <c r="Z47" s="163"/>
      <c r="AA47" s="163"/>
      <c r="AB47" s="163"/>
      <c r="AC47" s="163"/>
      <c r="AD47" s="171">
        <f>SUM(AA49*AE49, AA50*AE50, AA51*AE51, AA52*AE52, AA53*AE53, AA54*AE54, AA55*AE55, AA56*AE56, AA57*AE57, AA58*AE58, AA59*AE59, AA60*AE60, AA61*AE61, AA62*AE62, AA63*AE63)</f>
        <v>15</v>
      </c>
      <c r="AE47" s="172" t="s">
        <v>232</v>
      </c>
      <c r="AF47" s="173">
        <v>12.0</v>
      </c>
      <c r="AG47" s="180" t="s">
        <v>469</v>
      </c>
      <c r="AK47" s="181">
        <f>COUNTIF('Individual Stats'!$O$3:$AW$36, "*" &amp;AG47  &amp; "*")</f>
        <v>0</v>
      </c>
      <c r="AL47" s="182" t="s">
        <v>470</v>
      </c>
      <c r="AN47" s="183"/>
      <c r="AO47" s="182">
        <v>1.0</v>
      </c>
      <c r="AP47" s="184"/>
      <c r="AQ47" s="180" t="s">
        <v>471</v>
      </c>
      <c r="AU47" s="181">
        <f>COUNTIF('Individual Stats'!$O$3:$AW$36, "*" &amp;AQ47  &amp; "*")</f>
        <v>1</v>
      </c>
      <c r="AV47" s="182" t="s">
        <v>397</v>
      </c>
      <c r="AX47" s="183"/>
      <c r="AY47" s="182">
        <v>1.0</v>
      </c>
      <c r="AZ47" s="184"/>
      <c r="BA47" s="162" t="s">
        <v>37</v>
      </c>
      <c r="BB47" s="163"/>
      <c r="BC47" s="163"/>
      <c r="BD47" s="163"/>
      <c r="BE47" s="163"/>
      <c r="BF47" s="163"/>
      <c r="BG47" s="163"/>
      <c r="BH47" s="164">
        <f>SUM(BE49*BI49,BE50*BI50,BE51*BI51)</f>
        <v>8</v>
      </c>
      <c r="BI47" s="165" t="s">
        <v>232</v>
      </c>
      <c r="BJ47" s="213">
        <v>8.0</v>
      </c>
      <c r="BK47" s="17"/>
      <c r="BL47" s="2"/>
    </row>
    <row r="48" ht="18.75" customHeight="1">
      <c r="A48" s="2"/>
      <c r="B48" s="27"/>
      <c r="C48" s="186" t="s">
        <v>472</v>
      </c>
      <c r="G48" s="181">
        <f>COUNTIF('Individual Stats'!$O$3:$AW$36, "*" &amp;C48  &amp; "*")</f>
        <v>0</v>
      </c>
      <c r="H48" s="214" t="s">
        <v>473</v>
      </c>
      <c r="J48" s="183"/>
      <c r="K48" s="182">
        <v>3.0</v>
      </c>
      <c r="L48" s="184"/>
      <c r="M48" s="197" t="s">
        <v>261</v>
      </c>
      <c r="N48" s="198"/>
      <c r="O48" s="199">
        <f>V40/(7/102 * average(U42:U47))</f>
        <v>174.8571429</v>
      </c>
      <c r="P48" s="200"/>
      <c r="Q48" s="198"/>
      <c r="R48" s="201" t="s">
        <v>262</v>
      </c>
      <c r="S48" s="198"/>
      <c r="T48" s="202">
        <f>O48/12</f>
        <v>14.57142857</v>
      </c>
      <c r="U48" s="200"/>
      <c r="V48" s="203"/>
      <c r="W48" s="174" t="s">
        <v>233</v>
      </c>
      <c r="X48" s="161"/>
      <c r="Y48" s="161"/>
      <c r="Z48" s="161"/>
      <c r="AA48" s="175"/>
      <c r="AB48" s="176" t="s">
        <v>234</v>
      </c>
      <c r="AC48" s="161"/>
      <c r="AD48" s="175"/>
      <c r="AE48" s="176" t="s">
        <v>235</v>
      </c>
      <c r="AF48" s="177"/>
      <c r="AG48" s="180" t="s">
        <v>474</v>
      </c>
      <c r="AK48" s="181">
        <f>COUNTIF('Individual Stats'!$O$3:$AW$36, "*" &amp;AG48  &amp; "*")</f>
        <v>0</v>
      </c>
      <c r="AL48" s="182" t="s">
        <v>470</v>
      </c>
      <c r="AN48" s="183"/>
      <c r="AO48" s="182">
        <v>1.0</v>
      </c>
      <c r="AP48" s="184"/>
      <c r="AQ48" s="180" t="s">
        <v>475</v>
      </c>
      <c r="AU48" s="181">
        <f>COUNTIF('Individual Stats'!$O$3:$AW$36, "*" &amp;AQ48  &amp; "*")</f>
        <v>0</v>
      </c>
      <c r="AV48" s="182" t="s">
        <v>397</v>
      </c>
      <c r="AX48" s="183"/>
      <c r="AY48" s="182">
        <v>1.0</v>
      </c>
      <c r="AZ48" s="184"/>
      <c r="BA48" s="174" t="s">
        <v>233</v>
      </c>
      <c r="BB48" s="161"/>
      <c r="BC48" s="161"/>
      <c r="BD48" s="161"/>
      <c r="BE48" s="175"/>
      <c r="BF48" s="176" t="s">
        <v>234</v>
      </c>
      <c r="BG48" s="161"/>
      <c r="BH48" s="175"/>
      <c r="BI48" s="176" t="s">
        <v>235</v>
      </c>
      <c r="BJ48" s="177"/>
      <c r="BK48" s="17"/>
      <c r="BL48" s="2"/>
    </row>
    <row r="49" ht="18.75" customHeight="1">
      <c r="A49" s="2"/>
      <c r="B49" s="27"/>
      <c r="C49" s="232" t="s">
        <v>476</v>
      </c>
      <c r="G49" s="189">
        <f>COUNTIF('Individual Stats'!$O$3:$AW$36, "*" &amp;C49  &amp; "*")</f>
        <v>1</v>
      </c>
      <c r="H49" s="190">
        <v>36526.0</v>
      </c>
      <c r="J49" s="183"/>
      <c r="K49" s="191">
        <v>3.0</v>
      </c>
      <c r="L49" s="184"/>
      <c r="M49" s="24"/>
      <c r="N49" s="24"/>
      <c r="O49" s="24"/>
      <c r="P49" s="24"/>
      <c r="Q49" s="24"/>
      <c r="R49" s="24"/>
      <c r="S49" s="24"/>
      <c r="T49" s="24"/>
      <c r="U49" s="24"/>
      <c r="V49" s="73"/>
      <c r="W49" s="186" t="s">
        <v>477</v>
      </c>
      <c r="AA49" s="181">
        <f>COUNTIF('Individual Stats'!$O$3:$AW$36, "*" &amp;W49  &amp; "*")</f>
        <v>1</v>
      </c>
      <c r="AB49" s="182" t="s">
        <v>397</v>
      </c>
      <c r="AD49" s="183"/>
      <c r="AE49" s="182">
        <v>1.0</v>
      </c>
      <c r="AF49" s="184"/>
      <c r="AG49" s="180" t="s">
        <v>478</v>
      </c>
      <c r="AK49" s="181">
        <f>COUNTIF('Individual Stats'!$O$3:$AW$36, "*" &amp;AG49  &amp; "*")</f>
        <v>1</v>
      </c>
      <c r="AL49" s="182" t="s">
        <v>470</v>
      </c>
      <c r="AN49" s="183"/>
      <c r="AO49" s="182">
        <v>1.0</v>
      </c>
      <c r="AP49" s="184"/>
      <c r="AQ49" s="188" t="s">
        <v>479</v>
      </c>
      <c r="AU49" s="240">
        <f>COUNTIF('Individual Stats'!$O$3:$AW$36, AQ44 &amp; " - *" &amp;AQ49  &amp; "*")</f>
        <v>2</v>
      </c>
      <c r="AV49" s="191" t="s">
        <v>397</v>
      </c>
      <c r="AX49" s="183"/>
      <c r="AY49" s="191">
        <v>1.0</v>
      </c>
      <c r="AZ49" s="184"/>
      <c r="BA49" s="186" t="s">
        <v>480</v>
      </c>
      <c r="BE49" s="181">
        <f>COUNTIF('Individual Stats'!$O$3:$AW$36, "*" &amp;BA49  &amp; "*")</f>
        <v>2</v>
      </c>
      <c r="BF49" s="182" t="s">
        <v>299</v>
      </c>
      <c r="BH49" s="183"/>
      <c r="BI49" s="182">
        <v>1.0</v>
      </c>
      <c r="BJ49" s="184"/>
      <c r="BK49" s="17"/>
      <c r="BL49" s="2"/>
    </row>
    <row r="50" ht="18.75" customHeight="1">
      <c r="A50" s="2"/>
      <c r="B50" s="27"/>
      <c r="C50" s="232" t="s">
        <v>481</v>
      </c>
      <c r="G50" s="189">
        <f>COUNTIF('Individual Stats'!$O$3:$AW$36, "*" &amp;C50  &amp; "*")</f>
        <v>0</v>
      </c>
      <c r="H50" s="190">
        <v>401769.0</v>
      </c>
      <c r="J50" s="183"/>
      <c r="K50" s="191">
        <v>3.0</v>
      </c>
      <c r="L50" s="184"/>
      <c r="M50" s="24"/>
      <c r="N50" s="24"/>
      <c r="O50" s="24"/>
      <c r="P50" s="24"/>
      <c r="Q50" s="24"/>
      <c r="R50" s="24"/>
      <c r="S50" s="24"/>
      <c r="T50" s="24"/>
      <c r="U50" s="24"/>
      <c r="V50" s="73"/>
      <c r="W50" s="186" t="s">
        <v>482</v>
      </c>
      <c r="AA50" s="181">
        <f>COUNTIF('Individual Stats'!$O$3:$AW$36, "*" &amp;W50  &amp; "*")</f>
        <v>2</v>
      </c>
      <c r="AB50" s="182" t="s">
        <v>397</v>
      </c>
      <c r="AD50" s="183"/>
      <c r="AE50" s="182">
        <v>4.0</v>
      </c>
      <c r="AF50" s="184"/>
      <c r="AG50" s="180" t="s">
        <v>483</v>
      </c>
      <c r="AK50" s="181">
        <f>COUNTIF('Individual Stats'!$O$3:$AW$36, "*" &amp;AG50  &amp; "*")</f>
        <v>2</v>
      </c>
      <c r="AL50" s="182" t="s">
        <v>484</v>
      </c>
      <c r="AN50" s="183"/>
      <c r="AO50" s="182">
        <v>1.0</v>
      </c>
      <c r="AP50" s="184"/>
      <c r="AQ50" s="197" t="s">
        <v>261</v>
      </c>
      <c r="AR50" s="198"/>
      <c r="AS50" s="199">
        <f>AZ44/(1/160*AY46 + 1/148*AY47 + 1/140*AY48 + 1/231*AY49)</f>
        <v>97.62886107</v>
      </c>
      <c r="AT50" s="200"/>
      <c r="AU50" s="198"/>
      <c r="AV50" s="201" t="s">
        <v>262</v>
      </c>
      <c r="AW50" s="198"/>
      <c r="AX50" s="202">
        <f>AS50/6</f>
        <v>16.27147685</v>
      </c>
      <c r="AY50" s="200"/>
      <c r="AZ50" s="203"/>
      <c r="BA50" s="186" t="s">
        <v>485</v>
      </c>
      <c r="BE50" s="181">
        <f>COUNTIF('Individual Stats'!$O$3:$AW$36, "*" &amp;BA50  &amp; "*")</f>
        <v>2</v>
      </c>
      <c r="BF50" s="182" t="s">
        <v>299</v>
      </c>
      <c r="BH50" s="183"/>
      <c r="BI50" s="182">
        <v>1.0</v>
      </c>
      <c r="BJ50" s="184"/>
      <c r="BK50" s="17"/>
      <c r="BL50" s="2"/>
    </row>
    <row r="51" ht="18.75" customHeight="1">
      <c r="A51" s="2"/>
      <c r="B51" s="27"/>
      <c r="C51" s="197" t="s">
        <v>261</v>
      </c>
      <c r="D51" s="198"/>
      <c r="E51" s="199">
        <f>L43/(1/181*K45 + 1/513*K46 + 1/514*K47 + 1/1001*K48 + 1/2000*K49 + 1/3000*K50)</f>
        <v>318.9529678</v>
      </c>
      <c r="F51" s="200"/>
      <c r="G51" s="198"/>
      <c r="H51" s="201" t="s">
        <v>262</v>
      </c>
      <c r="I51" s="198"/>
      <c r="J51" s="202">
        <f>E51/25</f>
        <v>12.75811871</v>
      </c>
      <c r="K51" s="200"/>
      <c r="L51" s="203"/>
      <c r="M51" s="24"/>
      <c r="N51" s="24"/>
      <c r="O51" s="24"/>
      <c r="P51" s="24"/>
      <c r="Q51" s="24"/>
      <c r="R51" s="24"/>
      <c r="S51" s="24"/>
      <c r="T51" s="24"/>
      <c r="U51" s="24"/>
      <c r="V51" s="73"/>
      <c r="W51" s="186" t="s">
        <v>486</v>
      </c>
      <c r="AA51" s="215">
        <f>COUNTIF('Individual Stats'!$O$3:$AW$36, "*" &amp;W51  &amp; "*")</f>
        <v>1</v>
      </c>
      <c r="AB51" s="214" t="s">
        <v>487</v>
      </c>
      <c r="AD51" s="183"/>
      <c r="AE51" s="182">
        <v>4.0</v>
      </c>
      <c r="AF51" s="184"/>
      <c r="AG51" s="188" t="s">
        <v>404</v>
      </c>
      <c r="AK51" s="189">
        <f>COUNTIF('Individual Stats'!$O$3:$AW$36, AG42&amp;" - *" &amp;AG51  &amp; "*")</f>
        <v>2</v>
      </c>
      <c r="AL51" s="191" t="s">
        <v>397</v>
      </c>
      <c r="AN51" s="183"/>
      <c r="AO51" s="191">
        <v>1.0</v>
      </c>
      <c r="AP51" s="184"/>
      <c r="AQ51" s="197" t="s">
        <v>261</v>
      </c>
      <c r="AR51" s="198"/>
      <c r="AS51" s="199">
        <f>AZ44/(1/47.5*AY46 + 1/46.35*AY47 + 1/45.5*AY48 + 1/28*AY49)</f>
        <v>24.71728699</v>
      </c>
      <c r="AT51" s="200"/>
      <c r="AU51" s="198"/>
      <c r="AV51" s="201" t="s">
        <v>262</v>
      </c>
      <c r="AW51" s="198"/>
      <c r="AX51" s="202">
        <f>AS51/2.5</f>
        <v>9.886914797</v>
      </c>
      <c r="AY51" s="200"/>
      <c r="AZ51" s="203"/>
      <c r="BA51" s="186" t="s">
        <v>488</v>
      </c>
      <c r="BE51" s="181">
        <f>COUNTIF('Individual Stats'!$O$3:$AW$36, "*" &amp;BA51  &amp; "*")</f>
        <v>4</v>
      </c>
      <c r="BF51" s="182" t="s">
        <v>299</v>
      </c>
      <c r="BH51" s="183"/>
      <c r="BI51" s="182">
        <v>1.0</v>
      </c>
      <c r="BJ51" s="184"/>
      <c r="BK51" s="17"/>
      <c r="BL51" s="2"/>
    </row>
    <row r="52" ht="18.75" customHeight="1">
      <c r="A52" s="2"/>
      <c r="B52" s="27"/>
      <c r="C52" s="166" t="s">
        <v>32</v>
      </c>
      <c r="D52" s="163"/>
      <c r="E52" s="163"/>
      <c r="F52" s="163"/>
      <c r="G52" s="163"/>
      <c r="H52" s="163"/>
      <c r="I52" s="167"/>
      <c r="J52" s="168">
        <f>sum(G54*K54,G55*K55,G56*K56,G57*K57)</f>
        <v>3</v>
      </c>
      <c r="K52" s="168" t="s">
        <v>232</v>
      </c>
      <c r="L52" s="169">
        <v>3.0</v>
      </c>
      <c r="M52" s="25"/>
      <c r="N52" s="24"/>
      <c r="O52" s="24"/>
      <c r="P52" s="24"/>
      <c r="Q52" s="24"/>
      <c r="R52" s="24"/>
      <c r="S52" s="24"/>
      <c r="T52" s="24"/>
      <c r="U52" s="24"/>
      <c r="V52" s="73"/>
      <c r="W52" s="186" t="s">
        <v>489</v>
      </c>
      <c r="AA52" s="181">
        <f>COUNTIF('Individual Stats'!$O$3:$AW$36, "*" &amp;W52  &amp; "*")</f>
        <v>0</v>
      </c>
      <c r="AB52" s="214" t="s">
        <v>487</v>
      </c>
      <c r="AD52" s="183"/>
      <c r="AE52" s="182">
        <v>4.0</v>
      </c>
      <c r="AF52" s="184"/>
      <c r="AG52" s="197" t="s">
        <v>490</v>
      </c>
      <c r="AH52" s="198"/>
      <c r="AI52" s="199">
        <f>AP42/(1/358*AO44 + 1/716*AO45 + 1/912*AO46 + 1/618*AO48 + 1/358*AO50 + 1/2800*AO51)</f>
        <v>873.2369639</v>
      </c>
      <c r="AJ52" s="200"/>
      <c r="AK52" s="198"/>
      <c r="AL52" s="201" t="s">
        <v>262</v>
      </c>
      <c r="AM52" s="198"/>
      <c r="AN52" s="202">
        <f>AI52/55</f>
        <v>15.87703571</v>
      </c>
      <c r="AO52" s="200"/>
      <c r="AP52" s="203"/>
      <c r="AQ52" s="162" t="s">
        <v>30</v>
      </c>
      <c r="AR52" s="163"/>
      <c r="AS52" s="163"/>
      <c r="AT52" s="163"/>
      <c r="AU52" s="163"/>
      <c r="AV52" s="163"/>
      <c r="AW52" s="163"/>
      <c r="AX52" s="164">
        <f>SUM(AU54*AY54,AU55*AY55,AU56*AY56)</f>
        <v>13</v>
      </c>
      <c r="AY52" s="165" t="s">
        <v>232</v>
      </c>
      <c r="AZ52" s="213">
        <v>10.0</v>
      </c>
      <c r="BA52" s="197" t="s">
        <v>261</v>
      </c>
      <c r="BB52" s="198"/>
      <c r="BC52" s="199">
        <f>BJ47/(3/56*average(BI49:BI51))</f>
        <v>149.3333333</v>
      </c>
      <c r="BD52" s="200"/>
      <c r="BE52" s="198"/>
      <c r="BF52" s="201" t="s">
        <v>262</v>
      </c>
      <c r="BG52" s="198"/>
      <c r="BH52" s="202">
        <f>BC52/10</f>
        <v>14.93333333</v>
      </c>
      <c r="BI52" s="200"/>
      <c r="BJ52" s="203"/>
      <c r="BK52" s="17"/>
      <c r="BL52" s="2"/>
    </row>
    <row r="53" ht="18.75" customHeight="1">
      <c r="A53" s="2"/>
      <c r="B53" s="27"/>
      <c r="C53" s="174" t="s">
        <v>233</v>
      </c>
      <c r="D53" s="161"/>
      <c r="E53" s="161"/>
      <c r="F53" s="161"/>
      <c r="G53" s="175"/>
      <c r="H53" s="176" t="s">
        <v>234</v>
      </c>
      <c r="I53" s="161"/>
      <c r="J53" s="175"/>
      <c r="K53" s="176" t="s">
        <v>235</v>
      </c>
      <c r="L53" s="177"/>
      <c r="M53" s="24"/>
      <c r="N53" s="24"/>
      <c r="O53" s="24"/>
      <c r="P53" s="24"/>
      <c r="Q53" s="24"/>
      <c r="R53" s="24"/>
      <c r="S53" s="24"/>
      <c r="T53" s="24"/>
      <c r="U53" s="24"/>
      <c r="V53" s="73"/>
      <c r="W53" s="186" t="s">
        <v>491</v>
      </c>
      <c r="AA53" s="181">
        <f>COUNTIF('Individual Stats'!$O$3:$AW$36, "*" &amp;W53  &amp; "*")</f>
        <v>2</v>
      </c>
      <c r="AB53" s="182" t="s">
        <v>492</v>
      </c>
      <c r="AD53" s="183"/>
      <c r="AE53" s="182">
        <v>1.0</v>
      </c>
      <c r="AF53" s="184"/>
      <c r="AG53" s="197" t="s">
        <v>493</v>
      </c>
      <c r="AH53" s="198"/>
      <c r="AI53" s="199">
        <f>AP42/(1/358*AO44 + 1/716*AO45 + 1/912*AO46 + 1/618*AO47 + 1/358*AO50 + 1/2800*AO51)</f>
        <v>873.2369639</v>
      </c>
      <c r="AJ53" s="200"/>
      <c r="AK53" s="198"/>
      <c r="AL53" s="201" t="s">
        <v>262</v>
      </c>
      <c r="AM53" s="198"/>
      <c r="AN53" s="202">
        <f>AI53/52</f>
        <v>16.79301854</v>
      </c>
      <c r="AO53" s="200"/>
      <c r="AP53" s="203"/>
      <c r="AQ53" s="174" t="s">
        <v>233</v>
      </c>
      <c r="AR53" s="161"/>
      <c r="AS53" s="161"/>
      <c r="AT53" s="161"/>
      <c r="AU53" s="175"/>
      <c r="AV53" s="176" t="s">
        <v>234</v>
      </c>
      <c r="AW53" s="161"/>
      <c r="AX53" s="175"/>
      <c r="AY53" s="176" t="s">
        <v>235</v>
      </c>
      <c r="AZ53" s="177"/>
      <c r="BA53" s="25"/>
      <c r="BB53" s="24"/>
      <c r="BC53" s="24"/>
      <c r="BD53" s="24"/>
      <c r="BE53" s="24"/>
      <c r="BF53" s="24"/>
      <c r="BG53" s="24"/>
      <c r="BH53" s="24"/>
      <c r="BI53" s="24"/>
      <c r="BJ53" s="24"/>
      <c r="BK53" s="17"/>
      <c r="BL53" s="2"/>
    </row>
    <row r="54" ht="18.75" customHeight="1">
      <c r="A54" s="2"/>
      <c r="B54" s="27"/>
      <c r="C54" s="186" t="s">
        <v>494</v>
      </c>
      <c r="G54" s="181">
        <f>COUNTIF('Individual Stats'!$O$3:$AW$36, "*" &amp;C54  &amp; "*")</f>
        <v>0</v>
      </c>
      <c r="H54" s="182" t="s">
        <v>397</v>
      </c>
      <c r="J54" s="183"/>
      <c r="K54" s="182">
        <v>1.0</v>
      </c>
      <c r="L54" s="184"/>
      <c r="M54" s="24"/>
      <c r="N54" s="24"/>
      <c r="O54" s="24"/>
      <c r="P54" s="24"/>
      <c r="Q54" s="24"/>
      <c r="R54" s="24"/>
      <c r="S54" s="24"/>
      <c r="T54" s="24"/>
      <c r="U54" s="24"/>
      <c r="V54" s="73"/>
      <c r="W54" s="186" t="s">
        <v>495</v>
      </c>
      <c r="AA54" s="215">
        <f>COUNTIF('Individual Stats'!$O$3:$AW$36, "*" &amp;W54  &amp; "*")</f>
        <v>0</v>
      </c>
      <c r="AB54" s="182" t="s">
        <v>496</v>
      </c>
      <c r="AD54" s="183"/>
      <c r="AE54" s="182">
        <v>4.0</v>
      </c>
      <c r="AF54" s="184"/>
      <c r="AG54" s="197" t="s">
        <v>497</v>
      </c>
      <c r="AH54" s="198"/>
      <c r="AI54" s="199">
        <f>AP42/(1/358*AO44 + 1/716*AO45 + 1/912*AO46 + 1/618*AO49 + 1/358*AO50 + 1/2800*AO51)</f>
        <v>873.2369639</v>
      </c>
      <c r="AJ54" s="200"/>
      <c r="AK54" s="198"/>
      <c r="AL54" s="201" t="s">
        <v>262</v>
      </c>
      <c r="AM54" s="198"/>
      <c r="AN54" s="202">
        <f>AI54/60</f>
        <v>14.5539494</v>
      </c>
      <c r="AO54" s="200"/>
      <c r="AP54" s="203"/>
      <c r="AQ54" s="180" t="s">
        <v>498</v>
      </c>
      <c r="AU54" s="181">
        <f>COUNTIF('Individual Stats'!$O$3:$AW$36, "*" &amp;AQ54  &amp; "*")</f>
        <v>3</v>
      </c>
      <c r="AV54" s="182" t="s">
        <v>287</v>
      </c>
      <c r="AX54" s="183"/>
      <c r="AY54" s="182">
        <v>4.0</v>
      </c>
      <c r="AZ54" s="184"/>
      <c r="BA54" s="25"/>
      <c r="BB54" s="24"/>
      <c r="BC54" s="24"/>
      <c r="BD54" s="24"/>
      <c r="BE54" s="24"/>
      <c r="BF54" s="24"/>
      <c r="BG54" s="24"/>
      <c r="BH54" s="24"/>
      <c r="BI54" s="24"/>
      <c r="BJ54" s="24"/>
      <c r="BK54" s="17"/>
      <c r="BL54" s="2"/>
    </row>
    <row r="55" ht="18.75" customHeight="1">
      <c r="A55" s="2"/>
      <c r="B55" s="27"/>
      <c r="C55" s="186" t="s">
        <v>499</v>
      </c>
      <c r="G55" s="181">
        <f>COUNTIF('Individual Stats'!$O$3:$AW$36, "*" &amp;C55  &amp; "*")</f>
        <v>0</v>
      </c>
      <c r="H55" s="234" t="s">
        <v>293</v>
      </c>
      <c r="J55" s="183"/>
      <c r="K55" s="234">
        <v>2.0</v>
      </c>
      <c r="L55" s="184"/>
      <c r="M55" s="24"/>
      <c r="N55" s="24"/>
      <c r="O55" s="24"/>
      <c r="P55" s="24"/>
      <c r="Q55" s="24"/>
      <c r="R55" s="24"/>
      <c r="S55" s="24"/>
      <c r="T55" s="24"/>
      <c r="U55" s="24"/>
      <c r="V55" s="73"/>
      <c r="W55" s="186" t="s">
        <v>500</v>
      </c>
      <c r="AA55" s="181">
        <f>COUNTIF('Individual Stats'!$O$3:$AW$36, "*" &amp;W55  &amp; "*")</f>
        <v>0</v>
      </c>
      <c r="AB55" s="182" t="s">
        <v>496</v>
      </c>
      <c r="AD55" s="183"/>
      <c r="AE55" s="182">
        <v>4.0</v>
      </c>
      <c r="AF55" s="184"/>
      <c r="AG55" s="24"/>
      <c r="AH55" s="24"/>
      <c r="AI55" s="24"/>
      <c r="AJ55" s="24"/>
      <c r="AK55" s="24"/>
      <c r="AL55" s="24"/>
      <c r="AM55" s="24"/>
      <c r="AN55" s="24"/>
      <c r="AO55" s="24"/>
      <c r="AP55" s="73"/>
      <c r="AQ55" s="180" t="s">
        <v>501</v>
      </c>
      <c r="AU55" s="181">
        <f>COUNTIF('Individual Stats'!$O$3:$AW$36, "*" &amp;AQ55  &amp; "*")</f>
        <v>0</v>
      </c>
      <c r="AV55" s="182" t="s">
        <v>287</v>
      </c>
      <c r="AX55" s="183"/>
      <c r="AY55" s="182">
        <v>2.0</v>
      </c>
      <c r="AZ55" s="184"/>
      <c r="BA55" s="25"/>
      <c r="BB55" s="24"/>
      <c r="BC55" s="24"/>
      <c r="BD55" s="24"/>
      <c r="BE55" s="24"/>
      <c r="BF55" s="24"/>
      <c r="BG55" s="24"/>
      <c r="BH55" s="24"/>
      <c r="BI55" s="24"/>
      <c r="BJ55" s="24"/>
      <c r="BK55" s="17"/>
      <c r="BL55" s="2"/>
    </row>
    <row r="56" ht="18.75" customHeight="1">
      <c r="A56" s="2"/>
      <c r="B56" s="27"/>
      <c r="C56" s="186" t="s">
        <v>502</v>
      </c>
      <c r="G56" s="215">
        <f>COUNTIF('Individual Stats'!$O$3:$AW$36, "*" &amp;C56  &amp; "*")</f>
        <v>2</v>
      </c>
      <c r="H56" s="236" t="s">
        <v>503</v>
      </c>
      <c r="J56" s="183"/>
      <c r="K56" s="234">
        <v>1.0</v>
      </c>
      <c r="L56" s="184"/>
      <c r="M56" s="24"/>
      <c r="N56" s="24"/>
      <c r="O56" s="24"/>
      <c r="P56" s="24"/>
      <c r="Q56" s="24"/>
      <c r="R56" s="24"/>
      <c r="S56" s="24"/>
      <c r="T56" s="24"/>
      <c r="U56" s="24"/>
      <c r="V56" s="73"/>
      <c r="W56" s="186" t="s">
        <v>504</v>
      </c>
      <c r="AA56" s="181">
        <f>COUNTIF('Individual Stats'!$O$3:$AW$36, "*" &amp;W56  &amp; "*")</f>
        <v>0</v>
      </c>
      <c r="AB56" s="182" t="s">
        <v>505</v>
      </c>
      <c r="AD56" s="183"/>
      <c r="AE56" s="182">
        <v>1.0</v>
      </c>
      <c r="AF56" s="184"/>
      <c r="AG56" s="24"/>
      <c r="AH56" s="24"/>
      <c r="AI56" s="24"/>
      <c r="AJ56" s="24"/>
      <c r="AK56" s="24"/>
      <c r="AL56" s="24"/>
      <c r="AM56" s="24"/>
      <c r="AN56" s="24"/>
      <c r="AO56" s="24"/>
      <c r="AP56" s="73"/>
      <c r="AQ56" s="180" t="s">
        <v>506</v>
      </c>
      <c r="AU56" s="215">
        <f>COUNTIF('Individual Stats'!$O$3:$AW$36, "*" &amp;AQ56  &amp; "*")</f>
        <v>1</v>
      </c>
      <c r="AV56" s="182" t="s">
        <v>507</v>
      </c>
      <c r="AX56" s="183"/>
      <c r="AY56" s="182">
        <v>1.0</v>
      </c>
      <c r="AZ56" s="184"/>
      <c r="BA56" s="25"/>
      <c r="BB56" s="24"/>
      <c r="BC56" s="24"/>
      <c r="BD56" s="24"/>
      <c r="BE56" s="24"/>
      <c r="BF56" s="24"/>
      <c r="BG56" s="24"/>
      <c r="BH56" s="24"/>
      <c r="BI56" s="24"/>
      <c r="BJ56" s="24"/>
      <c r="BK56" s="17"/>
      <c r="BL56" s="2"/>
    </row>
    <row r="57" ht="18.75" customHeight="1">
      <c r="A57" s="2"/>
      <c r="B57" s="27"/>
      <c r="C57" s="186" t="s">
        <v>51</v>
      </c>
      <c r="G57" s="181">
        <f>COUNTIF('Individual Stats'!$O$3:$AW$36, C52&amp;" - *" &amp;C57  &amp; "*")</f>
        <v>1</v>
      </c>
      <c r="H57" s="236">
        <v>1132254.0</v>
      </c>
      <c r="J57" s="183"/>
      <c r="K57" s="234">
        <v>1.0</v>
      </c>
      <c r="L57" s="184"/>
      <c r="M57" s="24"/>
      <c r="N57" s="24"/>
      <c r="O57" s="24"/>
      <c r="P57" s="24"/>
      <c r="Q57" s="24"/>
      <c r="R57" s="24"/>
      <c r="S57" s="24"/>
      <c r="T57" s="24"/>
      <c r="U57" s="24"/>
      <c r="V57" s="73"/>
      <c r="W57" s="186" t="s">
        <v>508</v>
      </c>
      <c r="AA57" s="215">
        <f>COUNTIF('Individual Stats'!$O$3:$AW$36, "*" &amp;W57  &amp; "*")</f>
        <v>0</v>
      </c>
      <c r="AB57" s="182" t="s">
        <v>509</v>
      </c>
      <c r="AD57" s="183"/>
      <c r="AE57" s="182">
        <v>4.0</v>
      </c>
      <c r="AF57" s="184"/>
      <c r="AG57" s="24"/>
      <c r="AH57" s="24"/>
      <c r="AI57" s="24"/>
      <c r="AJ57" s="24"/>
      <c r="AK57" s="24"/>
      <c r="AL57" s="24"/>
      <c r="AM57" s="24"/>
      <c r="AN57" s="24"/>
      <c r="AO57" s="24"/>
      <c r="AP57" s="73"/>
      <c r="AQ57" s="197" t="s">
        <v>434</v>
      </c>
      <c r="AR57" s="200"/>
      <c r="AS57" s="200"/>
      <c r="AT57" s="200"/>
      <c r="AU57" s="200"/>
      <c r="AV57" s="200"/>
      <c r="AW57" s="200"/>
      <c r="AX57" s="200"/>
      <c r="AY57" s="200"/>
      <c r="AZ57" s="203"/>
      <c r="BA57" s="25"/>
      <c r="BB57" s="24"/>
      <c r="BC57" s="24"/>
      <c r="BD57" s="24"/>
      <c r="BE57" s="24"/>
      <c r="BF57" s="24"/>
      <c r="BG57" s="24"/>
      <c r="BH57" s="24"/>
      <c r="BI57" s="24"/>
      <c r="BJ57" s="24"/>
      <c r="BK57" s="17"/>
      <c r="BL57" s="2"/>
    </row>
    <row r="58" ht="18.75" customHeight="1">
      <c r="A58" s="2"/>
      <c r="B58" s="27"/>
      <c r="C58" s="197" t="s">
        <v>434</v>
      </c>
      <c r="D58" s="200"/>
      <c r="E58" s="200"/>
      <c r="F58" s="200"/>
      <c r="G58" s="200"/>
      <c r="H58" s="200"/>
      <c r="I58" s="200"/>
      <c r="J58" s="200"/>
      <c r="K58" s="200"/>
      <c r="L58" s="203"/>
      <c r="M58" s="25"/>
      <c r="N58" s="24"/>
      <c r="O58" s="24"/>
      <c r="P58" s="24"/>
      <c r="Q58" s="24"/>
      <c r="R58" s="24"/>
      <c r="S58" s="24"/>
      <c r="T58" s="24"/>
      <c r="U58" s="24"/>
      <c r="V58" s="73"/>
      <c r="W58" s="186" t="s">
        <v>510</v>
      </c>
      <c r="AA58" s="181">
        <f>COUNTIF('Individual Stats'!$O$3:$AW$36, "*" &amp;W58  &amp; "*")</f>
        <v>0</v>
      </c>
      <c r="AB58" s="182" t="s">
        <v>509</v>
      </c>
      <c r="AD58" s="183"/>
      <c r="AE58" s="182">
        <v>4.0</v>
      </c>
      <c r="AF58" s="184"/>
      <c r="AG58" s="25"/>
      <c r="AH58" s="24"/>
      <c r="AI58" s="24"/>
      <c r="AJ58" s="24"/>
      <c r="AK58" s="24"/>
      <c r="AL58" s="24"/>
      <c r="AM58" s="24"/>
      <c r="AN58" s="24"/>
      <c r="AO58" s="24"/>
      <c r="AP58" s="73"/>
      <c r="AQ58" s="166" t="s">
        <v>36</v>
      </c>
      <c r="AR58" s="163"/>
      <c r="AS58" s="163"/>
      <c r="AT58" s="163"/>
      <c r="AU58" s="163"/>
      <c r="AV58" s="163"/>
      <c r="AW58" s="163"/>
      <c r="AX58" s="241">
        <f>sum(AU59*AY59,AU60*AY60,AU61*AY61,AU62*AY62,AU63*AY63,AU64*AY64)</f>
        <v>17</v>
      </c>
      <c r="AY58" s="168" t="s">
        <v>232</v>
      </c>
      <c r="AZ58" s="169">
        <v>15.0</v>
      </c>
      <c r="BA58" s="25"/>
      <c r="BB58" s="24"/>
      <c r="BC58" s="24"/>
      <c r="BD58" s="24"/>
      <c r="BE58" s="24"/>
      <c r="BF58" s="24"/>
      <c r="BG58" s="24"/>
      <c r="BH58" s="24"/>
      <c r="BI58" s="24"/>
      <c r="BJ58" s="24"/>
      <c r="BK58" s="17"/>
      <c r="BL58" s="2"/>
    </row>
    <row r="59" ht="18.75" customHeight="1">
      <c r="A59" s="2"/>
      <c r="B59" s="27"/>
      <c r="C59" s="242"/>
      <c r="D59" s="242"/>
      <c r="E59" s="242"/>
      <c r="F59" s="242"/>
      <c r="G59" s="242"/>
      <c r="H59" s="242"/>
      <c r="I59" s="242"/>
      <c r="J59" s="242"/>
      <c r="K59" s="242"/>
      <c r="L59" s="242"/>
      <c r="M59" s="24"/>
      <c r="N59" s="24"/>
      <c r="O59" s="24"/>
      <c r="P59" s="24"/>
      <c r="Q59" s="24"/>
      <c r="R59" s="24"/>
      <c r="S59" s="24"/>
      <c r="T59" s="24"/>
      <c r="U59" s="24"/>
      <c r="V59" s="73"/>
      <c r="W59" s="186" t="s">
        <v>511</v>
      </c>
      <c r="AA59" s="181">
        <f>COUNTIF('Individual Stats'!$O$3:$AW$36, "*" &amp;W59  &amp; "*")</f>
        <v>0</v>
      </c>
      <c r="AB59" s="182" t="s">
        <v>505</v>
      </c>
      <c r="AD59" s="183"/>
      <c r="AE59" s="182">
        <v>1.0</v>
      </c>
      <c r="AF59" s="184"/>
      <c r="AG59" s="24"/>
      <c r="AH59" s="24"/>
      <c r="AI59" s="24"/>
      <c r="AJ59" s="24"/>
      <c r="AK59" s="24"/>
      <c r="AL59" s="24"/>
      <c r="AM59" s="24"/>
      <c r="AN59" s="24"/>
      <c r="AO59" s="24"/>
      <c r="AP59" s="73"/>
      <c r="AQ59" s="180" t="s">
        <v>512</v>
      </c>
      <c r="AU59" s="181">
        <f>COUNTIF('Individual Stats'!$O$3:$AW$36, "*" &amp;AQ59  &amp; "*")</f>
        <v>1</v>
      </c>
      <c r="AV59" s="182" t="s">
        <v>513</v>
      </c>
      <c r="AX59" s="183"/>
      <c r="AY59" s="182">
        <v>3.0</v>
      </c>
      <c r="AZ59" s="184"/>
      <c r="BA59" s="25"/>
      <c r="BB59" s="24"/>
      <c r="BC59" s="24"/>
      <c r="BD59" s="24"/>
      <c r="BE59" s="24"/>
      <c r="BF59" s="24"/>
      <c r="BG59" s="24"/>
      <c r="BH59" s="24"/>
      <c r="BI59" s="24"/>
      <c r="BJ59" s="24"/>
      <c r="BK59" s="17"/>
      <c r="BL59" s="2"/>
    </row>
    <row r="60" ht="18.75" customHeight="1">
      <c r="A60" s="2"/>
      <c r="B60" s="27"/>
      <c r="C60" s="24"/>
      <c r="D60" s="24"/>
      <c r="E60" s="24"/>
      <c r="F60" s="24"/>
      <c r="G60" s="24"/>
      <c r="H60" s="24"/>
      <c r="I60" s="24"/>
      <c r="J60" s="24"/>
      <c r="K60" s="24"/>
      <c r="L60" s="24"/>
      <c r="M60" s="24"/>
      <c r="N60" s="24"/>
      <c r="O60" s="24"/>
      <c r="P60" s="24"/>
      <c r="Q60" s="24"/>
      <c r="R60" s="24"/>
      <c r="S60" s="24"/>
      <c r="T60" s="24"/>
      <c r="U60" s="24"/>
      <c r="V60" s="73"/>
      <c r="W60" s="186" t="s">
        <v>514</v>
      </c>
      <c r="AA60" s="215">
        <f>COUNTIF('Individual Stats'!$O$3:$AW$36, "*" &amp;W60  &amp; "*")</f>
        <v>0</v>
      </c>
      <c r="AB60" s="182" t="s">
        <v>343</v>
      </c>
      <c r="AD60" s="183"/>
      <c r="AE60" s="182">
        <v>4.0</v>
      </c>
      <c r="AF60" s="184"/>
      <c r="AG60" s="24"/>
      <c r="AH60" s="24"/>
      <c r="AI60" s="24"/>
      <c r="AJ60" s="24"/>
      <c r="AK60" s="24"/>
      <c r="AL60" s="24"/>
      <c r="AM60" s="24"/>
      <c r="AN60" s="24"/>
      <c r="AO60" s="24"/>
      <c r="AP60" s="73"/>
      <c r="AQ60" s="180" t="s">
        <v>515</v>
      </c>
      <c r="AU60" s="181">
        <f>COUNTIF('Individual Stats'!$O$3:$AW$36, "*" &amp;AQ60  &amp; "*")</f>
        <v>5</v>
      </c>
      <c r="AV60" s="182" t="s">
        <v>513</v>
      </c>
      <c r="AX60" s="183"/>
      <c r="AY60" s="182">
        <v>2.0</v>
      </c>
      <c r="AZ60" s="184"/>
      <c r="BA60" s="25"/>
      <c r="BB60" s="24"/>
      <c r="BC60" s="24"/>
      <c r="BD60" s="24"/>
      <c r="BE60" s="24"/>
      <c r="BF60" s="24"/>
      <c r="BG60" s="24"/>
      <c r="BH60" s="24"/>
      <c r="BI60" s="24"/>
      <c r="BJ60" s="24"/>
      <c r="BK60" s="17"/>
      <c r="BL60" s="2"/>
    </row>
    <row r="61" ht="18.75" customHeight="1">
      <c r="A61" s="2"/>
      <c r="B61" s="27"/>
      <c r="C61" s="24"/>
      <c r="D61" s="24"/>
      <c r="E61" s="24"/>
      <c r="F61" s="24"/>
      <c r="G61" s="24"/>
      <c r="H61" s="24"/>
      <c r="I61" s="24"/>
      <c r="J61" s="24"/>
      <c r="K61" s="24"/>
      <c r="L61" s="24"/>
      <c r="M61" s="24"/>
      <c r="N61" s="24"/>
      <c r="O61" s="24"/>
      <c r="P61" s="24"/>
      <c r="Q61" s="24"/>
      <c r="R61" s="24"/>
      <c r="S61" s="24"/>
      <c r="T61" s="24"/>
      <c r="U61" s="24"/>
      <c r="V61" s="73"/>
      <c r="W61" s="186" t="s">
        <v>516</v>
      </c>
      <c r="AA61" s="181">
        <f>COUNTIF('Individual Stats'!$O$3:$AW$36, "*" &amp;W61  &amp; "*")</f>
        <v>0</v>
      </c>
      <c r="AB61" s="182" t="s">
        <v>343</v>
      </c>
      <c r="AD61" s="183"/>
      <c r="AE61" s="182">
        <v>4.0</v>
      </c>
      <c r="AF61" s="184"/>
      <c r="AG61" s="24"/>
      <c r="AH61" s="24"/>
      <c r="AI61" s="24"/>
      <c r="AJ61" s="24"/>
      <c r="AK61" s="24"/>
      <c r="AL61" s="24"/>
      <c r="AM61" s="24"/>
      <c r="AN61" s="24"/>
      <c r="AO61" s="24"/>
      <c r="AP61" s="73"/>
      <c r="AQ61" s="180" t="s">
        <v>517</v>
      </c>
      <c r="AU61" s="181">
        <f>COUNTIF('Individual Stats'!$O$3:$AW$36, "*" &amp;AQ61  &amp; "*")</f>
        <v>2</v>
      </c>
      <c r="AV61" s="182" t="s">
        <v>513</v>
      </c>
      <c r="AX61" s="183"/>
      <c r="AY61" s="182">
        <v>1.0</v>
      </c>
      <c r="AZ61" s="184"/>
      <c r="BA61" s="25"/>
      <c r="BB61" s="24"/>
      <c r="BC61" s="24"/>
      <c r="BD61" s="24"/>
      <c r="BE61" s="24"/>
      <c r="BF61" s="24"/>
      <c r="BG61" s="24"/>
      <c r="BH61" s="24"/>
      <c r="BI61" s="24"/>
      <c r="BJ61" s="24"/>
      <c r="BK61" s="17"/>
      <c r="BL61" s="2"/>
    </row>
    <row r="62" ht="18.75" customHeight="1">
      <c r="A62" s="2"/>
      <c r="B62" s="27"/>
      <c r="C62" s="24"/>
      <c r="D62" s="24"/>
      <c r="E62" s="24"/>
      <c r="F62" s="24"/>
      <c r="G62" s="24"/>
      <c r="H62" s="24"/>
      <c r="I62" s="24"/>
      <c r="J62" s="24"/>
      <c r="K62" s="24"/>
      <c r="L62" s="24"/>
      <c r="M62" s="24"/>
      <c r="N62" s="24"/>
      <c r="O62" s="24"/>
      <c r="P62" s="24"/>
      <c r="Q62" s="24"/>
      <c r="R62" s="24"/>
      <c r="S62" s="24"/>
      <c r="T62" s="24"/>
      <c r="U62" s="24"/>
      <c r="V62" s="73"/>
      <c r="W62" s="186" t="s">
        <v>518</v>
      </c>
      <c r="AA62" s="181">
        <f>COUNTIF('Individual Stats'!$O$3:$AW$36, "*" &amp;W62  &amp; "*")</f>
        <v>0</v>
      </c>
      <c r="AB62" s="182" t="s">
        <v>519</v>
      </c>
      <c r="AD62" s="183"/>
      <c r="AE62" s="182">
        <v>1.0</v>
      </c>
      <c r="AF62" s="184"/>
      <c r="AG62" s="24"/>
      <c r="AH62" s="24"/>
      <c r="AI62" s="24"/>
      <c r="AJ62" s="24"/>
      <c r="AK62" s="24"/>
      <c r="AL62" s="24"/>
      <c r="AM62" s="24"/>
      <c r="AN62" s="24"/>
      <c r="AO62" s="24"/>
      <c r="AP62" s="73"/>
      <c r="AQ62" s="180" t="s">
        <v>520</v>
      </c>
      <c r="AU62" s="181">
        <f>COUNTIF('Individual Stats'!$O$3:$AW$36, "*" &amp;AQ62  &amp; "*")</f>
        <v>0</v>
      </c>
      <c r="AV62" s="182" t="s">
        <v>513</v>
      </c>
      <c r="AX62" s="183"/>
      <c r="AY62" s="182">
        <v>1.0</v>
      </c>
      <c r="AZ62" s="184"/>
      <c r="BA62" s="25"/>
      <c r="BB62" s="24"/>
      <c r="BC62" s="24"/>
      <c r="BD62" s="24"/>
      <c r="BE62" s="24"/>
      <c r="BF62" s="24"/>
      <c r="BG62" s="24"/>
      <c r="BH62" s="24"/>
      <c r="BI62" s="24"/>
      <c r="BJ62" s="24"/>
      <c r="BK62" s="17"/>
      <c r="BL62" s="2"/>
    </row>
    <row r="63" ht="18.75" customHeight="1">
      <c r="A63" s="2"/>
      <c r="B63" s="27"/>
      <c r="C63" s="24"/>
      <c r="D63" s="24"/>
      <c r="E63" s="24"/>
      <c r="F63" s="24"/>
      <c r="G63" s="24"/>
      <c r="H63" s="24"/>
      <c r="I63" s="24"/>
      <c r="J63" s="24"/>
      <c r="K63" s="24"/>
      <c r="L63" s="24"/>
      <c r="M63" s="24"/>
      <c r="N63" s="24"/>
      <c r="O63" s="24"/>
      <c r="P63" s="24"/>
      <c r="Q63" s="24"/>
      <c r="R63" s="24"/>
      <c r="S63" s="24"/>
      <c r="T63" s="24"/>
      <c r="U63" s="24"/>
      <c r="V63" s="73"/>
      <c r="W63" s="188" t="s">
        <v>404</v>
      </c>
      <c r="AA63" s="189">
        <f>COUNTIF('Individual Stats'!$O$3:$AW$36, W47&amp;" - *" &amp;W63  &amp; "*")</f>
        <v>0</v>
      </c>
      <c r="AB63" s="191" t="s">
        <v>397</v>
      </c>
      <c r="AD63" s="183"/>
      <c r="AE63" s="191">
        <v>4.0</v>
      </c>
      <c r="AF63" s="184"/>
      <c r="AG63" s="24"/>
      <c r="AH63" s="24"/>
      <c r="AI63" s="24"/>
      <c r="AJ63" s="24"/>
      <c r="AK63" s="24"/>
      <c r="AL63" s="24"/>
      <c r="AM63" s="24"/>
      <c r="AN63" s="24"/>
      <c r="AO63" s="24"/>
      <c r="AP63" s="73"/>
      <c r="AQ63" s="180" t="s">
        <v>521</v>
      </c>
      <c r="AU63" s="181">
        <f>COUNTIF('Individual Stats'!$O$3:$AW$36, AQ58&amp;" - *" &amp;AQ63  &amp; "*")</f>
        <v>2</v>
      </c>
      <c r="AV63" s="182" t="s">
        <v>513</v>
      </c>
      <c r="AX63" s="183"/>
      <c r="AY63" s="182">
        <v>1.0</v>
      </c>
      <c r="AZ63" s="184"/>
      <c r="BA63" s="25"/>
      <c r="BB63" s="24"/>
      <c r="BC63" s="24"/>
      <c r="BD63" s="24"/>
      <c r="BE63" s="24"/>
      <c r="BF63" s="24"/>
      <c r="BG63" s="24"/>
      <c r="BH63" s="24"/>
      <c r="BI63" s="24"/>
      <c r="BJ63" s="24"/>
      <c r="BK63" s="17"/>
      <c r="BL63" s="2"/>
    </row>
    <row r="64" ht="18.75" customHeight="1">
      <c r="A64" s="2"/>
      <c r="B64" s="73"/>
      <c r="C64" s="24"/>
      <c r="D64" s="24"/>
      <c r="E64" s="24"/>
      <c r="F64" s="24"/>
      <c r="G64" s="24"/>
      <c r="H64" s="24"/>
      <c r="I64" s="24"/>
      <c r="J64" s="24"/>
      <c r="K64" s="24"/>
      <c r="L64" s="24"/>
      <c r="M64" s="24"/>
      <c r="N64" s="24"/>
      <c r="O64" s="24"/>
      <c r="P64" s="24"/>
      <c r="Q64" s="24"/>
      <c r="R64" s="24"/>
      <c r="S64" s="24"/>
      <c r="T64" s="24"/>
      <c r="U64" s="24"/>
      <c r="V64" s="24"/>
      <c r="W64" s="197" t="s">
        <v>522</v>
      </c>
      <c r="X64" s="198"/>
      <c r="Y64" s="199">
        <f>AF47/(1/362.7*AE49 + 1/1088*AE51 + 1/1088*AE52 + 3/3264*AE50 + 1/204*AE53 + 1/3000*AE63)</f>
        <v>599.34655</v>
      </c>
      <c r="Z64" s="200"/>
      <c r="AA64" s="198"/>
      <c r="AB64" s="201" t="s">
        <v>262</v>
      </c>
      <c r="AC64" s="198"/>
      <c r="AD64" s="202">
        <f>Y64/32</f>
        <v>18.72957969</v>
      </c>
      <c r="AE64" s="200"/>
      <c r="AF64" s="203"/>
      <c r="AG64" s="24"/>
      <c r="AH64" s="24"/>
      <c r="AI64" s="24"/>
      <c r="AJ64" s="24"/>
      <c r="AK64" s="24"/>
      <c r="AL64" s="24"/>
      <c r="AM64" s="24"/>
      <c r="AN64" s="24"/>
      <c r="AO64" s="24"/>
      <c r="AP64" s="73"/>
      <c r="AQ64" s="188" t="s">
        <v>404</v>
      </c>
      <c r="AU64" s="189">
        <f>COUNTIF('Individual Stats'!$O$3:$AW$36, AQ58 &amp; " - *" &amp; AQ64 &amp; "*")</f>
        <v>0</v>
      </c>
      <c r="AV64" s="190">
        <v>1132254.0</v>
      </c>
      <c r="AX64" s="183"/>
      <c r="AY64" s="191">
        <v>4.0</v>
      </c>
      <c r="AZ64" s="184"/>
      <c r="BA64" s="25"/>
      <c r="BB64" s="24"/>
      <c r="BC64" s="24"/>
      <c r="BD64" s="24"/>
      <c r="BE64" s="24"/>
      <c r="BF64" s="24"/>
      <c r="BG64" s="24"/>
      <c r="BH64" s="24"/>
      <c r="BI64" s="24"/>
      <c r="BJ64" s="24"/>
      <c r="BK64" s="25"/>
      <c r="BL64" s="2"/>
    </row>
    <row r="65" ht="18.75" customHeight="1">
      <c r="A65" s="2"/>
      <c r="B65" s="73"/>
      <c r="C65" s="24"/>
      <c r="D65" s="24"/>
      <c r="E65" s="24"/>
      <c r="F65" s="24"/>
      <c r="G65" s="24"/>
      <c r="H65" s="24"/>
      <c r="I65" s="24"/>
      <c r="J65" s="24"/>
      <c r="K65" s="24"/>
      <c r="L65" s="24"/>
      <c r="M65" s="24"/>
      <c r="N65" s="24"/>
      <c r="O65" s="24"/>
      <c r="P65" s="24"/>
      <c r="Q65" s="24"/>
      <c r="R65" s="24"/>
      <c r="S65" s="24"/>
      <c r="T65" s="24"/>
      <c r="U65" s="24"/>
      <c r="V65" s="24"/>
      <c r="W65" s="197" t="s">
        <v>523</v>
      </c>
      <c r="X65" s="198"/>
      <c r="Y65" s="199">
        <f>AF47/(1/256*AE49 + 1/768*AE57 + 1/768*AE58 + 3/2304*AE50 + 1/206*AE59 + 1/2500*AE63)</f>
        <v>461.793888</v>
      </c>
      <c r="Z65" s="200"/>
      <c r="AA65" s="198"/>
      <c r="AB65" s="201" t="s">
        <v>262</v>
      </c>
      <c r="AC65" s="198"/>
      <c r="AD65" s="202">
        <f>Y65/24</f>
        <v>19.241412</v>
      </c>
      <c r="AE65" s="200"/>
      <c r="AF65" s="203"/>
      <c r="AG65" s="24"/>
      <c r="AH65" s="24"/>
      <c r="AI65" s="24"/>
      <c r="AJ65" s="24"/>
      <c r="AK65" s="24"/>
      <c r="AL65" s="24"/>
      <c r="AM65" s="24"/>
      <c r="AN65" s="24"/>
      <c r="AO65" s="24"/>
      <c r="AP65" s="73"/>
      <c r="AQ65" s="197" t="s">
        <v>261</v>
      </c>
      <c r="AR65" s="198"/>
      <c r="AS65" s="199">
        <f>3*AZ58/(3/128*AY60 + 1/128*AY59 + 1/128*AY61 + 1/128*AY62 + 3/128*AY63 + 3/5000*AY64)</f>
        <v>402.5944979</v>
      </c>
      <c r="AT65" s="200"/>
      <c r="AU65" s="198"/>
      <c r="AV65" s="201" t="s">
        <v>262</v>
      </c>
      <c r="AW65" s="198"/>
      <c r="AX65" s="202">
        <f>AS65/120</f>
        <v>3.354954149</v>
      </c>
      <c r="AY65" s="200"/>
      <c r="AZ65" s="203"/>
      <c r="BA65" s="25"/>
      <c r="BB65" s="24"/>
      <c r="BC65" s="24"/>
      <c r="BD65" s="24"/>
      <c r="BE65" s="24"/>
      <c r="BF65" s="24"/>
      <c r="BG65" s="24"/>
      <c r="BH65" s="24"/>
      <c r="BI65" s="24"/>
      <c r="BJ65" s="24"/>
      <c r="BK65" s="25"/>
      <c r="BL65" s="2"/>
    </row>
    <row r="66" ht="18.75" customHeight="1">
      <c r="A66" s="2"/>
      <c r="B66" s="73"/>
      <c r="C66" s="24"/>
      <c r="D66" s="24"/>
      <c r="E66" s="24"/>
      <c r="F66" s="24"/>
      <c r="G66" s="24"/>
      <c r="H66" s="24"/>
      <c r="I66" s="24"/>
      <c r="J66" s="24"/>
      <c r="K66" s="24"/>
      <c r="L66" s="24"/>
      <c r="M66" s="24"/>
      <c r="N66" s="24"/>
      <c r="O66" s="24"/>
      <c r="P66" s="24"/>
      <c r="Q66" s="24"/>
      <c r="R66" s="24"/>
      <c r="S66" s="24"/>
      <c r="T66" s="24"/>
      <c r="U66" s="24"/>
      <c r="V66" s="24"/>
      <c r="W66" s="197" t="s">
        <v>524</v>
      </c>
      <c r="X66" s="198"/>
      <c r="Y66" s="199">
        <f>AF47/(1/240*AE49 + 1/720*AE54 + 1/720*AE55 + 3/2160*AE50 + 1/206.6*AE56 + 1/2500*AE63)</f>
        <v>439.9858497</v>
      </c>
      <c r="Z66" s="200"/>
      <c r="AA66" s="198"/>
      <c r="AB66" s="201" t="s">
        <v>262</v>
      </c>
      <c r="AC66" s="198"/>
      <c r="AD66" s="202">
        <f>Y66/34</f>
        <v>12.94076028</v>
      </c>
      <c r="AE66" s="200"/>
      <c r="AF66" s="203"/>
      <c r="AG66" s="24"/>
      <c r="AH66" s="24"/>
      <c r="AI66" s="24"/>
      <c r="AJ66" s="24"/>
      <c r="AK66" s="24"/>
      <c r="AL66" s="24"/>
      <c r="AM66" s="24"/>
      <c r="AN66" s="24"/>
      <c r="AO66" s="24"/>
      <c r="AP66" s="73"/>
      <c r="AQ66" s="197" t="s">
        <v>261</v>
      </c>
      <c r="AR66" s="198"/>
      <c r="AS66" s="199">
        <f>AZ58/(1/128*AY59 + 1/128*AY60 + 1/128*AY63 + 1/5000*AY64)</f>
        <v>314.6303094</v>
      </c>
      <c r="AT66" s="200"/>
      <c r="AU66" s="198"/>
      <c r="AV66" s="201" t="s">
        <v>262</v>
      </c>
      <c r="AW66" s="198"/>
      <c r="AX66" s="202">
        <f>AS66/40</f>
        <v>7.865757735</v>
      </c>
      <c r="AY66" s="200"/>
      <c r="AZ66" s="203"/>
      <c r="BA66" s="25"/>
      <c r="BB66" s="24"/>
      <c r="BC66" s="24"/>
      <c r="BD66" s="24"/>
      <c r="BE66" s="24"/>
      <c r="BF66" s="24"/>
      <c r="BG66" s="24"/>
      <c r="BH66" s="24"/>
      <c r="BI66" s="24"/>
      <c r="BJ66" s="24"/>
      <c r="BK66" s="25"/>
      <c r="BL66" s="2"/>
    </row>
    <row r="67" ht="18.75" customHeight="1">
      <c r="A67" s="2"/>
      <c r="B67" s="73"/>
      <c r="C67" s="24"/>
      <c r="D67" s="24"/>
      <c r="E67" s="24"/>
      <c r="F67" s="24"/>
      <c r="G67" s="24"/>
      <c r="H67" s="24"/>
      <c r="I67" s="24"/>
      <c r="J67" s="24"/>
      <c r="K67" s="24"/>
      <c r="L67" s="24"/>
      <c r="M67" s="24"/>
      <c r="N67" s="24"/>
      <c r="O67" s="24"/>
      <c r="P67" s="24"/>
      <c r="Q67" s="24"/>
      <c r="R67" s="24"/>
      <c r="S67" s="24"/>
      <c r="T67" s="24"/>
      <c r="U67" s="24"/>
      <c r="V67" s="24"/>
      <c r="W67" s="197" t="s">
        <v>525</v>
      </c>
      <c r="X67" s="198"/>
      <c r="Y67" s="199">
        <f>AF47/(1/170.7*AE49 + 1/512*AE60 + 1/512*AE61 + 3/1536*AE50 + 1/209.3*AE62 + 1/2000*AE63)</f>
        <v>332.6535956</v>
      </c>
      <c r="Z67" s="200"/>
      <c r="AA67" s="198"/>
      <c r="AB67" s="201" t="s">
        <v>262</v>
      </c>
      <c r="AC67" s="198"/>
      <c r="AD67" s="202">
        <f>Y67/20</f>
        <v>16.63267978</v>
      </c>
      <c r="AE67" s="200"/>
      <c r="AF67" s="203"/>
      <c r="AG67" s="24"/>
      <c r="AH67" s="24"/>
      <c r="AI67" s="24"/>
      <c r="AJ67" s="24"/>
      <c r="AK67" s="24"/>
      <c r="AL67" s="24"/>
      <c r="AM67" s="24"/>
      <c r="AN67" s="24"/>
      <c r="AO67" s="24"/>
      <c r="AP67" s="24"/>
      <c r="AQ67" s="243"/>
      <c r="AR67" s="242"/>
      <c r="AS67" s="242"/>
      <c r="AT67" s="242"/>
      <c r="AU67" s="242"/>
      <c r="AV67" s="242"/>
      <c r="AW67" s="242"/>
      <c r="AX67" s="242"/>
      <c r="AY67" s="242"/>
      <c r="AZ67" s="244"/>
      <c r="BA67" s="24"/>
      <c r="BB67" s="24"/>
      <c r="BC67" s="24"/>
      <c r="BD67" s="24"/>
      <c r="BE67" s="24"/>
      <c r="BF67" s="24"/>
      <c r="BG67" s="24"/>
      <c r="BH67" s="24"/>
      <c r="BI67" s="24"/>
      <c r="BJ67" s="24"/>
      <c r="BK67" s="25"/>
      <c r="BL67" s="2"/>
    </row>
    <row r="68" ht="18.75" customHeight="1">
      <c r="A68" s="2"/>
      <c r="B68" s="73"/>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73"/>
      <c r="AG68" s="24"/>
      <c r="AH68" s="24"/>
      <c r="AI68" s="24"/>
      <c r="AJ68" s="24"/>
      <c r="AK68" s="24"/>
      <c r="AL68" s="24"/>
      <c r="AM68" s="24"/>
      <c r="AN68" s="24"/>
      <c r="AO68" s="24"/>
      <c r="AP68" s="24"/>
      <c r="AQ68" s="25"/>
      <c r="AR68" s="24"/>
      <c r="AS68" s="24"/>
      <c r="AT68" s="24"/>
      <c r="AU68" s="24"/>
      <c r="AV68" s="24"/>
      <c r="AW68" s="24"/>
      <c r="AX68" s="24"/>
      <c r="AY68" s="24"/>
      <c r="AZ68" s="73"/>
      <c r="BA68" s="24"/>
      <c r="BB68" s="24"/>
      <c r="BC68" s="24"/>
      <c r="BD68" s="24"/>
      <c r="BE68" s="24"/>
      <c r="BF68" s="24"/>
      <c r="BG68" s="24"/>
      <c r="BH68" s="24"/>
      <c r="BI68" s="24"/>
      <c r="BJ68" s="24"/>
      <c r="BK68" s="25"/>
      <c r="BL68" s="2"/>
    </row>
    <row r="69" ht="18.75" customHeight="1">
      <c r="A69" s="2"/>
      <c r="B69" s="73"/>
      <c r="C69" s="245" t="s">
        <v>41</v>
      </c>
      <c r="D69" s="163"/>
      <c r="E69" s="163"/>
      <c r="F69" s="163"/>
      <c r="G69" s="163"/>
      <c r="H69" s="163"/>
      <c r="I69" s="163"/>
      <c r="J69" s="167"/>
      <c r="K69" s="246">
        <f>IF(SUM(G71*K71, G72*K72)&gt;20, 20, SUM(G71*K71, G72*K72))</f>
        <v>20</v>
      </c>
      <c r="L69" s="247"/>
      <c r="M69" s="245" t="s">
        <v>526</v>
      </c>
      <c r="N69" s="163"/>
      <c r="O69" s="163"/>
      <c r="P69" s="163"/>
      <c r="Q69" s="163"/>
      <c r="R69" s="163"/>
      <c r="S69" s="163"/>
      <c r="T69" s="167"/>
      <c r="U69" s="246">
        <f>IF(SUM(Q71*U71,Q72*U72,Q73*U73)&gt;20, 20, SUM(Q71*U71,Q72*U72,Q73*U73))</f>
        <v>0</v>
      </c>
      <c r="V69" s="247"/>
      <c r="W69" s="245" t="s">
        <v>39</v>
      </c>
      <c r="X69" s="163"/>
      <c r="Y69" s="163"/>
      <c r="Z69" s="163"/>
      <c r="AA69" s="163"/>
      <c r="AB69" s="163"/>
      <c r="AC69" s="163"/>
      <c r="AD69" s="167"/>
      <c r="AE69" s="246">
        <f>IF(SUM(AA70*AE70, AA71*AE71, AA72*AE72, AA73*AE73, AA74*AE74, AA75*AE75, AA76*AE76, AA77*AE77, AA78*AE78, AA79*AE79)&gt;20, 20, SUM(AA70*AE70, AA71*AE71, AA72*AE72, AA73*AE73, AA74*AE74, AA75*AE75, AA76*AE76, AA77*AE77, AA78*AE78, AA79*AE79))</f>
        <v>0</v>
      </c>
      <c r="AF69" s="247"/>
      <c r="AG69" s="245" t="s">
        <v>38</v>
      </c>
      <c r="AH69" s="163"/>
      <c r="AI69" s="163"/>
      <c r="AJ69" s="163"/>
      <c r="AK69" s="163"/>
      <c r="AL69" s="163"/>
      <c r="AM69" s="163"/>
      <c r="AN69" s="167"/>
      <c r="AO69" s="246">
        <f>IF(SUM(AK70*AO70, AK71*AO71, AK72*AO72, AK73*AO73, AK74*AO74, AK75*AO75, AK76*AO76)&gt;20, 20, SUM(AK70*AO70, AK71*AO71, AK72*AO72, AK73*AO73, AK74*AO74, AK75*AO75, AK76*AO76))</f>
        <v>0</v>
      </c>
      <c r="AP69" s="247"/>
      <c r="AQ69" s="245" t="s">
        <v>43</v>
      </c>
      <c r="AR69" s="163"/>
      <c r="AS69" s="163"/>
      <c r="AT69" s="163"/>
      <c r="AU69" s="163"/>
      <c r="AV69" s="163"/>
      <c r="AW69" s="163"/>
      <c r="AX69" s="167"/>
      <c r="AY69" s="246">
        <f>IF(SUM(AU70*AY70, AU71*AY71, AU72*AY72, AU73*AY73, AU74*AY74)&gt;20, 20, SUM(AU70*AY70, AU71*AY71, AU72*AY72, AU73*AY73, AU74*AY74))</f>
        <v>0</v>
      </c>
      <c r="AZ69" s="247"/>
      <c r="BA69" s="245" t="s">
        <v>527</v>
      </c>
      <c r="BB69" s="163"/>
      <c r="BC69" s="163"/>
      <c r="BD69" s="163"/>
      <c r="BE69" s="163"/>
      <c r="BF69" s="163"/>
      <c r="BG69" s="163"/>
      <c r="BH69" s="167"/>
      <c r="BI69" s="246">
        <f>IF(SUM(BE70*BI70, BE71*BI71, BE72*BI72, BE73*BI73, BE74*BI74,BE75*BI75)&gt;20, 20, SUM(BE70*BI70, BE71*BI71, BE72*BI72, BE73*BI73, BE74*BI74,BE75*BI75))</f>
        <v>1</v>
      </c>
      <c r="BJ69" s="247"/>
      <c r="BK69" s="25"/>
      <c r="BL69" s="2"/>
    </row>
    <row r="70" ht="18.75" customHeight="1">
      <c r="A70" s="2"/>
      <c r="B70" s="73"/>
      <c r="C70" s="174" t="s">
        <v>233</v>
      </c>
      <c r="D70" s="161"/>
      <c r="E70" s="161"/>
      <c r="F70" s="161"/>
      <c r="G70" s="175"/>
      <c r="H70" s="176" t="s">
        <v>234</v>
      </c>
      <c r="I70" s="161"/>
      <c r="J70" s="175"/>
      <c r="K70" s="176" t="s">
        <v>235</v>
      </c>
      <c r="L70" s="177"/>
      <c r="M70" s="174" t="s">
        <v>233</v>
      </c>
      <c r="N70" s="161"/>
      <c r="O70" s="161"/>
      <c r="P70" s="161"/>
      <c r="Q70" s="175"/>
      <c r="R70" s="176" t="s">
        <v>234</v>
      </c>
      <c r="S70" s="161"/>
      <c r="T70" s="175"/>
      <c r="U70" s="176" t="s">
        <v>235</v>
      </c>
      <c r="V70" s="177"/>
      <c r="W70" s="180" t="s">
        <v>528</v>
      </c>
      <c r="AA70" s="181">
        <f>COUNTIF('Individual Stats'!$O$3:$AW$36, "*" &amp;W70  &amp; "*")</f>
        <v>0</v>
      </c>
      <c r="AB70" s="182" t="s">
        <v>529</v>
      </c>
      <c r="AD70" s="183"/>
      <c r="AE70" s="182">
        <v>2.0</v>
      </c>
      <c r="AF70" s="184"/>
      <c r="AG70" s="180" t="s">
        <v>530</v>
      </c>
      <c r="AK70" s="181">
        <f>COUNTIF('Individual Stats'!$O$3:$AW$36, "*" &amp;AG70  &amp; "*")</f>
        <v>0</v>
      </c>
      <c r="AL70" s="182" t="s">
        <v>531</v>
      </c>
      <c r="AN70" s="183"/>
      <c r="AO70" s="182">
        <v>3.0</v>
      </c>
      <c r="AP70" s="184"/>
      <c r="AQ70" s="180" t="s">
        <v>532</v>
      </c>
      <c r="AU70" s="181">
        <f>COUNTIF('Individual Stats'!$O$3:$AW$36, "*" &amp;AQ70  &amp; "*")</f>
        <v>0</v>
      </c>
      <c r="AV70" s="214" t="s">
        <v>533</v>
      </c>
      <c r="AX70" s="183"/>
      <c r="AY70" s="182">
        <v>6.0</v>
      </c>
      <c r="AZ70" s="184"/>
      <c r="BA70" s="186" t="s">
        <v>534</v>
      </c>
      <c r="BE70" s="181">
        <f>COUNTIF('Individual Stats'!$O$3:$AW$36, "*" &amp;BA70  &amp; "*")</f>
        <v>0</v>
      </c>
      <c r="BF70" s="182" t="s">
        <v>397</v>
      </c>
      <c r="BH70" s="183"/>
      <c r="BI70" s="182">
        <v>0.5</v>
      </c>
      <c r="BJ70" s="184"/>
      <c r="BK70" s="25"/>
      <c r="BL70" s="2"/>
    </row>
    <row r="71" ht="18.75" customHeight="1">
      <c r="A71" s="2"/>
      <c r="B71" s="73"/>
      <c r="C71" s="180" t="s">
        <v>535</v>
      </c>
      <c r="G71" s="181">
        <f>COUNTIF('Individual Stats'!$O$3:$AW$36, "*- " &amp;C71  &amp; "*")</f>
        <v>7</v>
      </c>
      <c r="H71" s="182" t="s">
        <v>397</v>
      </c>
      <c r="J71" s="183"/>
      <c r="K71" s="182">
        <v>2.0</v>
      </c>
      <c r="L71" s="184"/>
      <c r="M71" s="180" t="s">
        <v>301</v>
      </c>
      <c r="Q71" s="181">
        <f>COUNTIF('Individual Stats'!$O$3:$AW$36, "*" &amp;M71  &amp; "*")</f>
        <v>0</v>
      </c>
      <c r="R71" s="182" t="s">
        <v>290</v>
      </c>
      <c r="T71" s="183"/>
      <c r="U71" s="182">
        <v>10.0</v>
      </c>
      <c r="V71" s="184"/>
      <c r="W71" s="180" t="s">
        <v>536</v>
      </c>
      <c r="AA71" s="181">
        <f>COUNTIF('Individual Stats'!$O$3:$AW$36, "*" &amp;W71  &amp; "*")</f>
        <v>0</v>
      </c>
      <c r="AB71" s="182" t="s">
        <v>373</v>
      </c>
      <c r="AD71" s="183"/>
      <c r="AE71" s="182">
        <v>2.0</v>
      </c>
      <c r="AF71" s="184"/>
      <c r="AG71" s="180" t="s">
        <v>537</v>
      </c>
      <c r="AK71" s="181">
        <f>COUNTIF('Individual Stats'!$O$3:$AW$36, "*" &amp;AG71  &amp; "*")</f>
        <v>0</v>
      </c>
      <c r="AL71" s="182" t="s">
        <v>538</v>
      </c>
      <c r="AN71" s="183"/>
      <c r="AO71" s="182">
        <v>3.0</v>
      </c>
      <c r="AP71" s="184"/>
      <c r="AQ71" s="180" t="s">
        <v>539</v>
      </c>
      <c r="AU71" s="181">
        <f>COUNTIF('Individual Stats'!$O$3:$AW$36, "*" &amp;AQ71  &amp; "*")</f>
        <v>0</v>
      </c>
      <c r="AV71" s="214" t="s">
        <v>533</v>
      </c>
      <c r="AX71" s="183"/>
      <c r="AY71" s="182">
        <v>6.0</v>
      </c>
      <c r="AZ71" s="184"/>
      <c r="BA71" s="186" t="s">
        <v>540</v>
      </c>
      <c r="BE71" s="181">
        <f>COUNTIF('Individual Stats'!$O$3:$AW$36, "*" &amp;BA71  &amp; "*")</f>
        <v>0</v>
      </c>
      <c r="BF71" s="182" t="s">
        <v>397</v>
      </c>
      <c r="BH71" s="183"/>
      <c r="BI71" s="182">
        <v>0.5</v>
      </c>
      <c r="BJ71" s="184"/>
      <c r="BK71" s="25"/>
      <c r="BL71" s="2"/>
    </row>
    <row r="72" ht="18.75" customHeight="1">
      <c r="A72" s="2"/>
      <c r="B72" s="73"/>
      <c r="C72" s="180" t="s">
        <v>404</v>
      </c>
      <c r="G72" s="181">
        <f>COUNTIF('Individual Stats'!$O$3:$AW$36, C69&amp;" - *" &amp;C72  &amp; "*")</f>
        <v>5</v>
      </c>
      <c r="H72" s="182" t="s">
        <v>397</v>
      </c>
      <c r="J72" s="183"/>
      <c r="K72" s="182">
        <v>2.0</v>
      </c>
      <c r="L72" s="184"/>
      <c r="M72" s="180" t="s">
        <v>298</v>
      </c>
      <c r="Q72" s="181">
        <f>COUNTIF('Individual Stats'!$O$3:$AW$36, "*" &amp;M72  &amp; "*")</f>
        <v>0</v>
      </c>
      <c r="R72" s="182" t="s">
        <v>299</v>
      </c>
      <c r="T72" s="183"/>
      <c r="U72" s="182">
        <v>10.0</v>
      </c>
      <c r="V72" s="184"/>
      <c r="W72" s="180" t="s">
        <v>541</v>
      </c>
      <c r="AA72" s="181">
        <f>COUNTIF('Individual Stats'!$O$3:$AW$36, "*" &amp;W72  &amp; "*")</f>
        <v>0</v>
      </c>
      <c r="AB72" s="182" t="s">
        <v>373</v>
      </c>
      <c r="AD72" s="183"/>
      <c r="AE72" s="182">
        <v>2.0</v>
      </c>
      <c r="AF72" s="184"/>
      <c r="AG72" s="180" t="s">
        <v>542</v>
      </c>
      <c r="AK72" s="181">
        <f>COUNTIF('Individual Stats'!$O$3:$AW$36, "*" &amp;AG72  &amp; "*")</f>
        <v>0</v>
      </c>
      <c r="AL72" s="182" t="s">
        <v>538</v>
      </c>
      <c r="AN72" s="183"/>
      <c r="AO72" s="182">
        <v>3.0</v>
      </c>
      <c r="AP72" s="184"/>
      <c r="AQ72" s="180" t="s">
        <v>543</v>
      </c>
      <c r="AU72" s="181">
        <f>COUNTIF('Individual Stats'!$O$3:$AW$36, "*" &amp;AQ72  &amp; "*")</f>
        <v>0</v>
      </c>
      <c r="AV72" s="214">
        <v>801710.0</v>
      </c>
      <c r="AX72" s="183"/>
      <c r="AY72" s="182">
        <v>6.0</v>
      </c>
      <c r="AZ72" s="184"/>
      <c r="BA72" s="186" t="s">
        <v>544</v>
      </c>
      <c r="BE72" s="181">
        <f>COUNTIF('Individual Stats'!$O$3:$AW$36, "*" &amp;BA72  &amp; "*")</f>
        <v>1</v>
      </c>
      <c r="BF72" s="182" t="s">
        <v>397</v>
      </c>
      <c r="BH72" s="183"/>
      <c r="BI72" s="182">
        <v>0.5</v>
      </c>
      <c r="BJ72" s="184"/>
      <c r="BK72" s="25"/>
      <c r="BL72" s="2"/>
    </row>
    <row r="73" ht="18.75" customHeight="1">
      <c r="A73" s="2"/>
      <c r="B73" s="73"/>
      <c r="C73" s="197" t="s">
        <v>434</v>
      </c>
      <c r="D73" s="200"/>
      <c r="E73" s="200"/>
      <c r="F73" s="200"/>
      <c r="G73" s="200"/>
      <c r="H73" s="200"/>
      <c r="I73" s="200"/>
      <c r="J73" s="200"/>
      <c r="K73" s="200"/>
      <c r="L73" s="198"/>
      <c r="M73" s="180" t="s">
        <v>391</v>
      </c>
      <c r="Q73" s="181">
        <f>COUNTIF('Individual Stats'!$O$3:$AW$36, "*" &amp;M73  &amp; "*")</f>
        <v>0</v>
      </c>
      <c r="R73" s="182" t="s">
        <v>392</v>
      </c>
      <c r="T73" s="183"/>
      <c r="U73" s="182">
        <v>10.0</v>
      </c>
      <c r="V73" s="184"/>
      <c r="W73" s="180" t="s">
        <v>545</v>
      </c>
      <c r="AA73" s="181">
        <f>COUNTIF('Individual Stats'!$O$3:$AW$36, "*" &amp;W73  &amp; "*")</f>
        <v>0</v>
      </c>
      <c r="AB73" s="182" t="s">
        <v>373</v>
      </c>
      <c r="AD73" s="183"/>
      <c r="AE73" s="182">
        <v>2.0</v>
      </c>
      <c r="AF73" s="184"/>
      <c r="AG73" s="180" t="s">
        <v>546</v>
      </c>
      <c r="AK73" s="181">
        <f>COUNTIF('Individual Stats'!$O$3:$AW$36, "*" &amp;AG73  &amp; "*")</f>
        <v>0</v>
      </c>
      <c r="AL73" s="182" t="s">
        <v>538</v>
      </c>
      <c r="AN73" s="183"/>
      <c r="AO73" s="182">
        <v>3.0</v>
      </c>
      <c r="AP73" s="184"/>
      <c r="AQ73" s="188" t="s">
        <v>547</v>
      </c>
      <c r="AU73" s="189">
        <f>COUNTIF('Individual Stats'!$O$3:$AW$36, "*" &amp;AQ73  &amp; "*")</f>
        <v>0</v>
      </c>
      <c r="AV73" s="190" t="s">
        <v>248</v>
      </c>
      <c r="AX73" s="183"/>
      <c r="AY73" s="191">
        <v>6.0</v>
      </c>
      <c r="AZ73" s="184"/>
      <c r="BA73" s="186" t="s">
        <v>548</v>
      </c>
      <c r="BE73" s="181">
        <f>COUNTIF('Individual Stats'!$O$3:$AW$36, "*" &amp;BA73  &amp; "*")</f>
        <v>0</v>
      </c>
      <c r="BF73" s="182" t="s">
        <v>397</v>
      </c>
      <c r="BH73" s="183"/>
      <c r="BI73" s="182">
        <v>1.0</v>
      </c>
      <c r="BJ73" s="184"/>
      <c r="BK73" s="25"/>
      <c r="BL73" s="2"/>
    </row>
    <row r="74" ht="18.75" customHeight="1">
      <c r="A74" s="2"/>
      <c r="B74" s="73"/>
      <c r="C74" s="24"/>
      <c r="D74" s="24"/>
      <c r="E74" s="24"/>
      <c r="F74" s="24"/>
      <c r="G74" s="24"/>
      <c r="H74" s="24"/>
      <c r="I74" s="24"/>
      <c r="J74" s="24"/>
      <c r="K74" s="24"/>
      <c r="L74" s="24"/>
      <c r="M74" s="197" t="s">
        <v>549</v>
      </c>
      <c r="N74" s="200"/>
      <c r="O74" s="200"/>
      <c r="P74" s="200"/>
      <c r="Q74" s="198"/>
      <c r="R74" s="248">
        <f>1/((65*1.7)/867.6 * 1/28 * U71)</f>
        <v>21.98443439</v>
      </c>
      <c r="S74" s="200"/>
      <c r="T74" s="200"/>
      <c r="U74" s="200"/>
      <c r="V74" s="198"/>
      <c r="W74" s="180" t="s">
        <v>550</v>
      </c>
      <c r="AA74" s="181">
        <f>COUNTIF('Individual Stats'!$O$3:$AW$36, "*" &amp;W74  &amp; "*")</f>
        <v>0</v>
      </c>
      <c r="AB74" s="214" t="s">
        <v>551</v>
      </c>
      <c r="AD74" s="183"/>
      <c r="AE74" s="182">
        <v>2.0</v>
      </c>
      <c r="AF74" s="184"/>
      <c r="AG74" s="180" t="s">
        <v>552</v>
      </c>
      <c r="AK74" s="181">
        <f>COUNTIF('Individual Stats'!$O$3:$AW$36, "*" &amp;AG74  &amp; "*")</f>
        <v>0</v>
      </c>
      <c r="AL74" s="182" t="s">
        <v>538</v>
      </c>
      <c r="AN74" s="183"/>
      <c r="AO74" s="182">
        <v>3.0</v>
      </c>
      <c r="AP74" s="184"/>
      <c r="AQ74" s="188" t="s">
        <v>553</v>
      </c>
      <c r="AU74" s="189">
        <f>COUNTIF('Individual Stats'!$O$3:$AW$36, "*" &amp;AQ74  &amp; "*")</f>
        <v>0</v>
      </c>
      <c r="AV74" s="190">
        <v>1132254.0</v>
      </c>
      <c r="AX74" s="183"/>
      <c r="AY74" s="191">
        <v>6.0</v>
      </c>
      <c r="AZ74" s="184"/>
      <c r="BA74" s="186" t="s">
        <v>554</v>
      </c>
      <c r="BE74" s="181">
        <f>COUNTIF('Individual Stats'!$O$3:$AW$36, "*" &amp;BA74  &amp; "*")</f>
        <v>1</v>
      </c>
      <c r="BF74" s="182" t="s">
        <v>397</v>
      </c>
      <c r="BH74" s="183"/>
      <c r="BI74" s="182">
        <v>0.5</v>
      </c>
      <c r="BJ74" s="184"/>
      <c r="BK74" s="25"/>
      <c r="BL74" s="2"/>
    </row>
    <row r="75" ht="18.75" customHeight="1">
      <c r="A75" s="2"/>
      <c r="B75" s="73"/>
      <c r="C75" s="24"/>
      <c r="D75" s="24"/>
      <c r="E75" s="24"/>
      <c r="F75" s="24"/>
      <c r="G75" s="24"/>
      <c r="H75" s="24"/>
      <c r="I75" s="24"/>
      <c r="J75" s="24"/>
      <c r="K75" s="24"/>
      <c r="L75" s="24"/>
      <c r="M75" s="197" t="s">
        <v>555</v>
      </c>
      <c r="N75" s="200"/>
      <c r="O75" s="200"/>
      <c r="P75" s="200"/>
      <c r="Q75" s="198"/>
      <c r="R75" s="248">
        <f>1/(3 * 1/9.1 * 1/19 * 1/3 * U72)</f>
        <v>17.29</v>
      </c>
      <c r="S75" s="200"/>
      <c r="T75" s="200"/>
      <c r="U75" s="200"/>
      <c r="V75" s="198"/>
      <c r="W75" s="180" t="s">
        <v>556</v>
      </c>
      <c r="AA75" s="181">
        <f>COUNTIF('Individual Stats'!$O$3:$AW$36, "*" &amp;W75  &amp; "*")</f>
        <v>0</v>
      </c>
      <c r="AB75" s="214" t="s">
        <v>324</v>
      </c>
      <c r="AD75" s="183"/>
      <c r="AE75" s="182">
        <v>2.0</v>
      </c>
      <c r="AF75" s="184"/>
      <c r="AG75" s="180" t="s">
        <v>557</v>
      </c>
      <c r="AK75" s="181">
        <f>COUNTIF('Individual Stats'!$O$3:$AW$36, "*" &amp;AG75  &amp; "*")</f>
        <v>0</v>
      </c>
      <c r="AL75" s="182" t="s">
        <v>558</v>
      </c>
      <c r="AN75" s="183"/>
      <c r="AO75" s="182">
        <v>5.0</v>
      </c>
      <c r="AP75" s="184"/>
      <c r="AQ75" s="197" t="s">
        <v>559</v>
      </c>
      <c r="AR75" s="200"/>
      <c r="AS75" s="200"/>
      <c r="AT75" s="200"/>
      <c r="AU75" s="198"/>
      <c r="AV75" s="248">
        <f>1/(10 * (1/1365*AY70 + 1/1365*AY71 + 1/4095*AY72 + 1/1000*AY73 + 1/5000*AY74))</f>
        <v>5.728554642</v>
      </c>
      <c r="AW75" s="200"/>
      <c r="AX75" s="200"/>
      <c r="AY75" s="200"/>
      <c r="AZ75" s="198"/>
      <c r="BA75" s="188" t="s">
        <v>560</v>
      </c>
      <c r="BE75" s="189">
        <f>COUNTIF('Individual Stats'!$O$3:$AW$36, "*" &amp;BA75  &amp; "*")</f>
        <v>0</v>
      </c>
      <c r="BF75" s="191" t="s">
        <v>397</v>
      </c>
      <c r="BH75" s="183"/>
      <c r="BI75" s="191">
        <v>1.0</v>
      </c>
      <c r="BJ75" s="184"/>
      <c r="BK75" s="25"/>
      <c r="BL75" s="2"/>
    </row>
    <row r="76" ht="18.75" customHeight="1">
      <c r="A76" s="2"/>
      <c r="B76" s="73"/>
      <c r="C76" s="24"/>
      <c r="D76" s="24"/>
      <c r="E76" s="24"/>
      <c r="F76" s="24"/>
      <c r="G76" s="24"/>
      <c r="H76" s="24"/>
      <c r="I76" s="24"/>
      <c r="J76" s="24"/>
      <c r="K76" s="24"/>
      <c r="L76" s="24"/>
      <c r="M76" s="197" t="s">
        <v>561</v>
      </c>
      <c r="N76" s="200"/>
      <c r="O76" s="200"/>
      <c r="P76" s="200"/>
      <c r="Q76" s="198"/>
      <c r="R76" s="248">
        <f>1/(1.7 * 0.00451 * U73)</f>
        <v>13.04291118</v>
      </c>
      <c r="S76" s="200"/>
      <c r="T76" s="200"/>
      <c r="U76" s="200"/>
      <c r="V76" s="198"/>
      <c r="W76" s="180" t="s">
        <v>562</v>
      </c>
      <c r="AA76" s="181">
        <f>COUNTIF('Individual Stats'!$O$3:$AW$36, "*" &amp;W76  &amp; "*")</f>
        <v>0</v>
      </c>
      <c r="AB76" s="214" t="s">
        <v>324</v>
      </c>
      <c r="AD76" s="183"/>
      <c r="AE76" s="182">
        <v>4.0</v>
      </c>
      <c r="AF76" s="184"/>
      <c r="AG76" s="188" t="s">
        <v>563</v>
      </c>
      <c r="AK76" s="189">
        <f>COUNTIF('Individual Stats'!$O$3:$AW$36, "*" &amp;AG76  &amp; "*")</f>
        <v>0</v>
      </c>
      <c r="AL76" s="191" t="s">
        <v>243</v>
      </c>
      <c r="AN76" s="183"/>
      <c r="AO76" s="191">
        <v>5.0</v>
      </c>
      <c r="AP76" s="184"/>
      <c r="AQ76" s="24"/>
      <c r="AR76" s="24"/>
      <c r="AS76" s="24"/>
      <c r="AT76" s="24"/>
      <c r="AU76" s="24"/>
      <c r="AV76" s="24"/>
      <c r="AW76" s="24"/>
      <c r="AX76" s="24"/>
      <c r="AY76" s="24"/>
      <c r="AZ76" s="24"/>
      <c r="BA76" s="197" t="s">
        <v>564</v>
      </c>
      <c r="BB76" s="200"/>
      <c r="BC76" s="200"/>
      <c r="BD76" s="200"/>
      <c r="BE76" s="198"/>
      <c r="BF76" s="248">
        <f>1/(1.7*(
(1/620 + 1/550 + 1/480 + 1/437.3 + 1/362.7 + 1/288 + 1/213.3 + 1/138.7 + 1/64)*BI70 + 
(1/620 + 1/550 + 1/480 + 1/437.3 + 1/362.7 + 1/288 + 1/213.3 + 1/138.7 + 1/64)*BI71 +
(1/620 + 1/550 + 1/480 + 1/437.3 + 1/362.7 + 1/288 + 1/213.3 + 1/138.7 + 1/64)*BI72 +
(1/1312 + 1/1088 + 1/864 + 1/640 + 1/416 + 1/192)*BI73 +
1.15*(1/310 + 1/275 + 1/240 + 1/218.7 + 1/181.3 + 1/144 + 1/106.7 + 1/69.3 + 1/32)*BI74 +
1/200*BI75
))</f>
        <v>4.626891929</v>
      </c>
      <c r="BG76" s="200"/>
      <c r="BH76" s="200"/>
      <c r="BI76" s="200"/>
      <c r="BJ76" s="198"/>
      <c r="BK76" s="25"/>
      <c r="BL76" s="2"/>
    </row>
    <row r="77" ht="18.75" customHeight="1">
      <c r="A77" s="2"/>
      <c r="B77" s="73"/>
      <c r="C77" s="24"/>
      <c r="D77" s="24"/>
      <c r="E77" s="24"/>
      <c r="F77" s="24"/>
      <c r="G77" s="24"/>
      <c r="H77" s="24"/>
      <c r="I77" s="24"/>
      <c r="J77" s="24"/>
      <c r="K77" s="24"/>
      <c r="L77" s="24"/>
      <c r="M77" s="24"/>
      <c r="N77" s="24"/>
      <c r="O77" s="24"/>
      <c r="P77" s="24"/>
      <c r="Q77" s="24"/>
      <c r="R77" s="24"/>
      <c r="S77" s="24"/>
      <c r="T77" s="24"/>
      <c r="U77" s="24"/>
      <c r="V77" s="73"/>
      <c r="W77" s="180" t="s">
        <v>565</v>
      </c>
      <c r="AA77" s="181">
        <f>COUNTIF('Individual Stats'!$O$3:$AW$36, "*" &amp;W77  &amp; "*")</f>
        <v>0</v>
      </c>
      <c r="AB77" s="214" t="s">
        <v>324</v>
      </c>
      <c r="AD77" s="183"/>
      <c r="AE77" s="182">
        <v>2.0</v>
      </c>
      <c r="AF77" s="184"/>
      <c r="AG77" s="197" t="s">
        <v>559</v>
      </c>
      <c r="AH77" s="200"/>
      <c r="AI77" s="200"/>
      <c r="AJ77" s="200"/>
      <c r="AK77" s="198"/>
      <c r="AL77" s="248">
        <f>1/(10*(1/172*1/5*1.02*AO70 + 1/258*1/5*1.02*AO71 + 1/258*1/5*1.02*AO72 + 1/258*1/5*1.02*AO73 + 1/258*1/5*1.02*AO74 + 1/516*1/5*1.02*AO75 + 1/500*1/5*1.02*AO76))</f>
        <v>5.860546257</v>
      </c>
      <c r="AM77" s="200"/>
      <c r="AN77" s="200"/>
      <c r="AO77" s="200"/>
      <c r="AP77" s="198"/>
      <c r="AQ77" s="25"/>
      <c r="AR77" s="24"/>
      <c r="AS77" s="24"/>
      <c r="AT77" s="24"/>
      <c r="AU77" s="24"/>
      <c r="AV77" s="24"/>
      <c r="AW77" s="24"/>
      <c r="AX77" s="24"/>
      <c r="AY77" s="24"/>
      <c r="AZ77" s="24"/>
      <c r="BA77" s="197" t="s">
        <v>566</v>
      </c>
      <c r="BB77" s="200"/>
      <c r="BC77" s="200"/>
      <c r="BD77" s="200"/>
      <c r="BE77" s="198"/>
      <c r="BF77" s="248">
        <f>1/(1.7*(
(1/620 + 1/550 + 1/480 + 1/437.3 + 1/362.7 + 1/288 + 1/213.3 + 1/138.7 + 1/64)*BI70 + 
(1/620 + 1/550 + 1/480 + 1/437.3 + 1/362.7 + 1/288 + 1/213.3 + 1/138.7 + 1/64)*BI71 +
(1/620 + 1/550 + 1/480 + 1/437.3 + 1/362.7 + 1/288 + 1/213.3 + 1/138.7 + 1/64)*BI72 +
(1/1312 + 1/1088 + 1/864 + 1/640 + 1/416 + 1/192)*BI73 +
1.15*(1/310 + 1/275 + 1/240 + 1/218.7 + 1/181.3 + 1/144 + 1/106.7 + 1/69.3 + 1/32)*BI74 +
1/100*BI75
))</f>
        <v>4.451808612</v>
      </c>
      <c r="BG77" s="200"/>
      <c r="BH77" s="200"/>
      <c r="BI77" s="200"/>
      <c r="BJ77" s="198"/>
      <c r="BK77" s="25"/>
      <c r="BL77" s="2"/>
    </row>
    <row r="78" ht="18.75" customHeight="1">
      <c r="A78" s="2"/>
      <c r="B78" s="73"/>
      <c r="C78" s="24"/>
      <c r="D78" s="24"/>
      <c r="E78" s="24"/>
      <c r="F78" s="24"/>
      <c r="G78" s="24"/>
      <c r="H78" s="24"/>
      <c r="I78" s="24"/>
      <c r="J78" s="24"/>
      <c r="K78" s="24"/>
      <c r="L78" s="24"/>
      <c r="M78" s="24"/>
      <c r="N78" s="24"/>
      <c r="O78" s="24"/>
      <c r="P78" s="24"/>
      <c r="Q78" s="24"/>
      <c r="R78" s="24"/>
      <c r="S78" s="24"/>
      <c r="T78" s="24"/>
      <c r="U78" s="24"/>
      <c r="V78" s="73"/>
      <c r="W78" s="188" t="s">
        <v>567</v>
      </c>
      <c r="AA78" s="189">
        <f>COUNTIF('Individual Stats'!$O$3:$AW$36, "*" &amp;W78  &amp; "*")</f>
        <v>0</v>
      </c>
      <c r="AB78" s="190">
        <v>767011.0</v>
      </c>
      <c r="AD78" s="183"/>
      <c r="AE78" s="191">
        <v>4.0</v>
      </c>
      <c r="AF78" s="184"/>
      <c r="AG78" s="25"/>
      <c r="AH78" s="24"/>
      <c r="AI78" s="24"/>
      <c r="AJ78" s="24"/>
      <c r="AK78" s="24"/>
      <c r="AL78" s="244"/>
      <c r="AN78" s="249"/>
      <c r="AO78" s="242"/>
      <c r="AP78" s="242"/>
      <c r="AQ78" s="24"/>
      <c r="AR78" s="24"/>
      <c r="AS78" s="24"/>
      <c r="AT78" s="24"/>
      <c r="AU78" s="24"/>
      <c r="AV78" s="24"/>
      <c r="AW78" s="24"/>
      <c r="AX78" s="24"/>
      <c r="AY78" s="24"/>
      <c r="AZ78" s="24"/>
      <c r="BA78" s="24"/>
      <c r="BB78" s="24"/>
      <c r="BC78" s="24"/>
      <c r="BD78" s="24"/>
      <c r="BE78" s="24"/>
      <c r="BF78" s="24"/>
      <c r="BG78" s="24"/>
      <c r="BH78" s="24"/>
      <c r="BI78" s="24"/>
      <c r="BJ78" s="24"/>
      <c r="BK78" s="25"/>
      <c r="BL78" s="2"/>
    </row>
    <row r="79" ht="18.75" customHeight="1">
      <c r="A79" s="2"/>
      <c r="B79" s="73"/>
      <c r="C79" s="24"/>
      <c r="D79" s="24"/>
      <c r="E79" s="24"/>
      <c r="F79" s="24"/>
      <c r="G79" s="24"/>
      <c r="H79" s="24"/>
      <c r="I79" s="24"/>
      <c r="J79" s="24"/>
      <c r="K79" s="24"/>
      <c r="L79" s="24"/>
      <c r="M79" s="24"/>
      <c r="N79" s="24"/>
      <c r="O79" s="24"/>
      <c r="P79" s="24"/>
      <c r="Q79" s="24"/>
      <c r="R79" s="24"/>
      <c r="S79" s="24"/>
      <c r="T79" s="24"/>
      <c r="U79" s="24"/>
      <c r="V79" s="73"/>
      <c r="W79" s="188" t="s">
        <v>568</v>
      </c>
      <c r="AA79" s="189">
        <f>COUNTIF('Individual Stats'!$O$3:$AW$36, "*" &amp;W79  &amp; "*")</f>
        <v>0</v>
      </c>
      <c r="AB79" s="190" t="s">
        <v>569</v>
      </c>
      <c r="AD79" s="183"/>
      <c r="AE79" s="191">
        <v>4.0</v>
      </c>
      <c r="AF79" s="184"/>
      <c r="AG79" s="25"/>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5"/>
      <c r="BL79" s="2"/>
    </row>
    <row r="80" ht="18.75" customHeight="1">
      <c r="A80" s="2"/>
      <c r="B80" s="73"/>
      <c r="C80" s="24"/>
      <c r="D80" s="24"/>
      <c r="E80" s="24"/>
      <c r="F80" s="24"/>
      <c r="G80" s="24"/>
      <c r="H80" s="24"/>
      <c r="I80" s="24"/>
      <c r="J80" s="24"/>
      <c r="K80" s="24"/>
      <c r="L80" s="24"/>
      <c r="M80" s="24"/>
      <c r="N80" s="24"/>
      <c r="O80" s="24"/>
      <c r="P80" s="24"/>
      <c r="Q80" s="24"/>
      <c r="R80" s="24"/>
      <c r="S80" s="24"/>
      <c r="T80" s="24"/>
      <c r="U80" s="24"/>
      <c r="V80" s="73"/>
      <c r="W80" s="197" t="s">
        <v>559</v>
      </c>
      <c r="X80" s="200"/>
      <c r="Y80" s="200"/>
      <c r="Z80" s="200"/>
      <c r="AA80" s="198"/>
      <c r="AB80" s="248">
        <f>1/((1/507*AE70 + 1/700*AE71 + 1/700*AE72 + 1/700*AE73 + 1/1129*AE74 + 1/1600*AE75 + 1/1600*AE76 + 1/1600*AE77 + 1/1400*AE79 + 1/4000*AE78) * 9)</f>
        <v>4.800689438</v>
      </c>
      <c r="AC80" s="200"/>
      <c r="AD80" s="200"/>
      <c r="AE80" s="200"/>
      <c r="AF80" s="203"/>
      <c r="AG80" s="25"/>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5"/>
      <c r="BL80" s="2"/>
    </row>
    <row r="81" ht="18.75" customHeight="1">
      <c r="A81" s="2"/>
      <c r="B81" s="73"/>
      <c r="C81" s="24"/>
      <c r="D81" s="24"/>
      <c r="E81" s="24"/>
      <c r="F81" s="24"/>
      <c r="G81" s="24"/>
      <c r="H81" s="24"/>
      <c r="I81" s="24"/>
      <c r="J81" s="24"/>
      <c r="K81" s="24"/>
      <c r="L81" s="24"/>
      <c r="M81" s="24"/>
      <c r="N81" s="24"/>
      <c r="O81" s="24"/>
      <c r="P81" s="24"/>
      <c r="Q81" s="24"/>
      <c r="R81" s="24"/>
      <c r="S81" s="24"/>
      <c r="T81" s="24"/>
      <c r="U81" s="24"/>
      <c r="V81" s="24"/>
      <c r="W81" s="244"/>
      <c r="X81" s="242"/>
      <c r="Y81" s="242"/>
      <c r="Z81" s="242"/>
      <c r="AA81" s="242"/>
      <c r="AB81" s="242"/>
      <c r="AC81" s="242"/>
      <c r="AD81" s="242"/>
      <c r="AE81" s="242"/>
      <c r="AF81" s="242"/>
      <c r="AG81" s="24"/>
      <c r="AH81" s="24"/>
      <c r="AI81" s="24"/>
      <c r="AJ81" s="24"/>
      <c r="AK81" s="24"/>
      <c r="AL81" s="24"/>
      <c r="AM81" s="24"/>
      <c r="AN81" s="24"/>
      <c r="AO81" s="24"/>
      <c r="AP81" s="24"/>
      <c r="AQ81" s="73"/>
      <c r="AR81" s="24"/>
      <c r="AS81" s="24"/>
      <c r="AT81" s="24"/>
      <c r="AU81" s="24"/>
      <c r="AV81" s="24"/>
      <c r="AW81" s="24"/>
      <c r="AX81" s="24"/>
      <c r="AY81" s="24"/>
      <c r="AZ81" s="24"/>
      <c r="BA81" s="24"/>
      <c r="BB81" s="24"/>
      <c r="BC81" s="24"/>
      <c r="BD81" s="24"/>
      <c r="BE81" s="24"/>
      <c r="BF81" s="24"/>
      <c r="BG81" s="24"/>
      <c r="BH81" s="24"/>
      <c r="BI81" s="24"/>
      <c r="BJ81" s="24"/>
      <c r="BK81" s="24"/>
      <c r="BL81" s="2"/>
    </row>
    <row r="82" ht="18.75" customHeight="1">
      <c r="A82" s="2"/>
      <c r="B82" s="2"/>
      <c r="C82" s="250"/>
      <c r="D82" s="250"/>
      <c r="E82" s="250"/>
      <c r="F82" s="250"/>
      <c r="G82" s="250"/>
      <c r="H82" s="250"/>
      <c r="I82" s="250"/>
      <c r="J82" s="250"/>
      <c r="K82" s="250"/>
      <c r="L82" s="250"/>
      <c r="M82" s="250"/>
      <c r="N82" s="250"/>
      <c r="O82" s="250"/>
      <c r="P82" s="250"/>
      <c r="Q82" s="250"/>
      <c r="R82" s="250"/>
      <c r="S82" s="250"/>
      <c r="T82" s="250"/>
      <c r="U82" s="251"/>
      <c r="V82" s="251"/>
      <c r="W82" s="251"/>
      <c r="X82" s="251"/>
      <c r="Y82" s="251"/>
      <c r="Z82" s="251"/>
      <c r="AA82" s="251"/>
      <c r="AB82" s="251"/>
      <c r="AC82" s="251"/>
      <c r="AD82" s="251"/>
      <c r="AE82" s="251"/>
      <c r="AF82" s="251"/>
      <c r="AG82" s="251"/>
      <c r="AH82" s="251"/>
      <c r="AI82" s="251"/>
      <c r="AJ82" s="251"/>
      <c r="AK82" s="251"/>
      <c r="AL82" s="251"/>
      <c r="AM82" s="251"/>
      <c r="AN82" s="251"/>
      <c r="AO82" s="251"/>
      <c r="AP82" s="251"/>
      <c r="AQ82" s="251"/>
      <c r="AR82" s="251"/>
      <c r="AS82" s="251"/>
      <c r="AT82" s="251"/>
      <c r="AU82" s="251"/>
      <c r="AV82" s="251"/>
      <c r="AW82" s="251"/>
      <c r="AX82" s="251"/>
      <c r="AY82" s="251"/>
      <c r="AZ82" s="251"/>
      <c r="BA82" s="251"/>
      <c r="BB82" s="251"/>
      <c r="BC82" s="251"/>
      <c r="BD82" s="251"/>
      <c r="BE82" s="251"/>
      <c r="BF82" s="251"/>
      <c r="BG82" s="251"/>
      <c r="BH82" s="251"/>
      <c r="BI82" s="251"/>
      <c r="BJ82" s="251"/>
      <c r="BK82" s="251"/>
      <c r="BL82" s="252"/>
    </row>
    <row r="83" ht="18.75" hidden="1" customHeight="1">
      <c r="A83" s="2"/>
      <c r="B83" s="253" t="s">
        <v>570</v>
      </c>
      <c r="C83" s="254"/>
      <c r="D83" s="254"/>
      <c r="E83" s="254"/>
      <c r="F83" s="254"/>
      <c r="G83" s="255"/>
      <c r="H83" s="256" t="s">
        <v>571</v>
      </c>
      <c r="I83" s="254"/>
      <c r="J83" s="255"/>
      <c r="K83" s="257" t="s">
        <v>572</v>
      </c>
      <c r="L83" s="256" t="s">
        <v>573</v>
      </c>
      <c r="M83" s="254"/>
      <c r="N83" s="255"/>
      <c r="O83" s="258" t="s">
        <v>574</v>
      </c>
      <c r="P83" s="254"/>
      <c r="Q83" s="255"/>
      <c r="R83" s="258" t="s">
        <v>575</v>
      </c>
      <c r="S83" s="254"/>
      <c r="T83" s="259"/>
      <c r="U83" s="260"/>
      <c r="V83" s="251"/>
      <c r="W83" s="261" t="s">
        <v>576</v>
      </c>
      <c r="X83" s="262"/>
      <c r="Y83" s="262"/>
      <c r="Z83" s="262"/>
      <c r="AA83" s="262"/>
      <c r="AB83" s="263"/>
      <c r="AC83" s="264">
        <v>6212983.0</v>
      </c>
      <c r="AD83" s="262"/>
      <c r="AE83" s="262"/>
      <c r="AF83" s="263"/>
      <c r="AG83" s="265" t="s">
        <v>577</v>
      </c>
      <c r="AH83" s="266"/>
      <c r="AI83" s="266"/>
      <c r="AJ83" s="266"/>
      <c r="AK83" s="266"/>
      <c r="AL83" s="266"/>
      <c r="AM83" s="266"/>
      <c r="AN83" s="266"/>
      <c r="AO83" s="266"/>
      <c r="AP83" s="266"/>
      <c r="AQ83" s="267"/>
      <c r="AR83" s="251"/>
      <c r="AS83" s="251"/>
      <c r="AT83" s="251"/>
      <c r="AU83" s="251"/>
      <c r="AV83" s="251"/>
      <c r="AW83" s="251"/>
      <c r="AX83" s="251"/>
      <c r="AY83" s="251"/>
      <c r="AZ83" s="251"/>
      <c r="BA83" s="251"/>
      <c r="BB83" s="251"/>
      <c r="BC83" s="251"/>
      <c r="BD83" s="251"/>
      <c r="BE83" s="251"/>
      <c r="BF83" s="251"/>
      <c r="BG83" s="251"/>
      <c r="BH83" s="251"/>
      <c r="BI83" s="251"/>
      <c r="BJ83" s="251"/>
      <c r="BK83" s="251"/>
      <c r="BL83" s="252"/>
    </row>
    <row r="84" ht="18.75" hidden="1" customHeight="1">
      <c r="A84" s="2"/>
      <c r="B84" s="268" t="str">
        <f t="shared" ref="B84:B86" si="3">$C$3 &amp; " - " &amp; C5</f>
        <v>Mad Angel - Hallowfell</v>
      </c>
      <c r="C84" s="269"/>
      <c r="D84" s="269"/>
      <c r="E84" s="269"/>
      <c r="F84" s="269"/>
      <c r="G84" s="270"/>
      <c r="H84" s="271" t="s">
        <v>578</v>
      </c>
      <c r="I84" s="269"/>
      <c r="J84" s="270"/>
      <c r="K84" s="272">
        <f t="shared" ref="K84:K296" si="4">IF(H84="Low",5,IF(H84="Mid",10,IF(H84="High",20,50)))</f>
        <v>5</v>
      </c>
      <c r="L84" s="271">
        <f t="shared" ref="L84:L86" si="5">$L$3</f>
        <v>6</v>
      </c>
      <c r="M84" s="269"/>
      <c r="N84" s="270"/>
      <c r="O84" s="273">
        <f t="shared" ref="O84:O86" si="6">K5</f>
        <v>1</v>
      </c>
      <c r="P84" s="269"/>
      <c r="Q84" s="270"/>
      <c r="R84" s="274">
        <f t="shared" ref="R84:R296" si="7">O84/L84*K84</f>
        <v>0.8333333333</v>
      </c>
      <c r="S84" s="269"/>
      <c r="T84" s="275"/>
      <c r="U84" s="276"/>
      <c r="V84" s="252"/>
      <c r="W84" s="277" t="s">
        <v>579</v>
      </c>
      <c r="X84" s="278"/>
      <c r="Y84" s="278"/>
      <c r="Z84" s="278"/>
      <c r="AA84" s="278"/>
      <c r="AB84" s="279"/>
      <c r="AC84" s="280">
        <v>6212983.0</v>
      </c>
      <c r="AD84" s="269"/>
      <c r="AE84" s="269"/>
      <c r="AF84" s="281"/>
      <c r="AG84" s="282" t="s">
        <v>580</v>
      </c>
      <c r="AH84" s="283"/>
      <c r="AI84" s="283"/>
      <c r="AJ84" s="283"/>
      <c r="AK84" s="283"/>
      <c r="AL84" s="283"/>
      <c r="AM84" s="283"/>
      <c r="AN84" s="283"/>
      <c r="AO84" s="283"/>
      <c r="AP84" s="283"/>
      <c r="AQ84" s="284"/>
      <c r="AR84" s="252"/>
      <c r="AS84" s="252"/>
      <c r="AT84" s="252"/>
      <c r="AU84" s="252"/>
      <c r="AV84" s="252"/>
      <c r="AW84" s="252"/>
      <c r="AX84" s="252"/>
      <c r="AY84" s="252"/>
      <c r="AZ84" s="252"/>
      <c r="BA84" s="252"/>
      <c r="BB84" s="252"/>
      <c r="BC84" s="252"/>
      <c r="BD84" s="252"/>
      <c r="BE84" s="252"/>
      <c r="BF84" s="252"/>
      <c r="BG84" s="252"/>
      <c r="BH84" s="252"/>
      <c r="BI84" s="252"/>
      <c r="BJ84" s="252"/>
      <c r="BK84" s="252"/>
      <c r="BL84" s="252"/>
    </row>
    <row r="85" ht="18.75" hidden="1" customHeight="1">
      <c r="A85" s="2"/>
      <c r="B85" s="268" t="str">
        <f t="shared" si="3"/>
        <v>Mad Angel - Jar of Light</v>
      </c>
      <c r="C85" s="269"/>
      <c r="D85" s="269"/>
      <c r="E85" s="269"/>
      <c r="F85" s="269"/>
      <c r="G85" s="270"/>
      <c r="H85" s="271" t="s">
        <v>578</v>
      </c>
      <c r="I85" s="269"/>
      <c r="J85" s="270"/>
      <c r="K85" s="272">
        <f t="shared" si="4"/>
        <v>5</v>
      </c>
      <c r="L85" s="271">
        <f t="shared" si="5"/>
        <v>6</v>
      </c>
      <c r="M85" s="269"/>
      <c r="N85" s="270"/>
      <c r="O85" s="273">
        <f t="shared" si="6"/>
        <v>2</v>
      </c>
      <c r="P85" s="269"/>
      <c r="Q85" s="270"/>
      <c r="R85" s="274">
        <f t="shared" si="7"/>
        <v>1.666666667</v>
      </c>
      <c r="S85" s="269"/>
      <c r="T85" s="275"/>
      <c r="U85" s="276"/>
      <c r="V85" s="252"/>
      <c r="W85" s="277" t="s">
        <v>581</v>
      </c>
      <c r="X85" s="278"/>
      <c r="Y85" s="278"/>
      <c r="Z85" s="278"/>
      <c r="AA85" s="278"/>
      <c r="AB85" s="279"/>
      <c r="AC85" s="280">
        <v>6212983.0</v>
      </c>
      <c r="AD85" s="269"/>
      <c r="AE85" s="269"/>
      <c r="AF85" s="281"/>
      <c r="AG85" s="282" t="s">
        <v>582</v>
      </c>
      <c r="AH85" s="283"/>
      <c r="AI85" s="283"/>
      <c r="AJ85" s="283"/>
      <c r="AK85" s="283"/>
      <c r="AL85" s="283"/>
      <c r="AM85" s="283"/>
      <c r="AN85" s="283"/>
      <c r="AO85" s="283"/>
      <c r="AP85" s="283"/>
      <c r="AQ85" s="284"/>
      <c r="AR85" s="252"/>
      <c r="AS85" s="252"/>
      <c r="AT85" s="252"/>
      <c r="AU85" s="252"/>
      <c r="AV85" s="252"/>
      <c r="AW85" s="252"/>
      <c r="AX85" s="252"/>
      <c r="AY85" s="252"/>
      <c r="AZ85" s="252"/>
      <c r="BA85" s="252"/>
      <c r="BB85" s="252"/>
      <c r="BC85" s="252"/>
      <c r="BD85" s="252"/>
      <c r="BE85" s="252"/>
      <c r="BF85" s="252"/>
      <c r="BG85" s="252"/>
      <c r="BH85" s="252"/>
      <c r="BI85" s="252"/>
      <c r="BJ85" s="252"/>
      <c r="BK85" s="252"/>
      <c r="BL85" s="252"/>
    </row>
    <row r="86" ht="18.75" hidden="1" customHeight="1">
      <c r="A86" s="2"/>
      <c r="B86" s="268" t="str">
        <f t="shared" si="3"/>
        <v>Mad Angel - Aggy</v>
      </c>
      <c r="C86" s="269"/>
      <c r="D86" s="269"/>
      <c r="E86" s="269"/>
      <c r="F86" s="269"/>
      <c r="G86" s="270"/>
      <c r="H86" s="271" t="s">
        <v>578</v>
      </c>
      <c r="I86" s="269"/>
      <c r="J86" s="270"/>
      <c r="K86" s="272">
        <f t="shared" si="4"/>
        <v>5</v>
      </c>
      <c r="L86" s="271">
        <f t="shared" si="5"/>
        <v>6</v>
      </c>
      <c r="M86" s="269"/>
      <c r="N86" s="270"/>
      <c r="O86" s="273">
        <f t="shared" si="6"/>
        <v>3</v>
      </c>
      <c r="P86" s="269"/>
      <c r="Q86" s="270"/>
      <c r="R86" s="274">
        <f t="shared" si="7"/>
        <v>2.5</v>
      </c>
      <c r="S86" s="269"/>
      <c r="T86" s="275"/>
      <c r="U86" s="276"/>
      <c r="V86" s="252"/>
      <c r="W86" s="277" t="s">
        <v>583</v>
      </c>
      <c r="X86" s="278"/>
      <c r="Y86" s="278"/>
      <c r="Z86" s="278"/>
      <c r="AA86" s="278"/>
      <c r="AB86" s="279"/>
      <c r="AC86" s="280">
        <v>1144279.0</v>
      </c>
      <c r="AD86" s="269"/>
      <c r="AE86" s="269"/>
      <c r="AF86" s="281"/>
      <c r="AG86" s="282" t="s">
        <v>584</v>
      </c>
      <c r="AH86" s="283"/>
      <c r="AI86" s="283"/>
      <c r="AJ86" s="283"/>
      <c r="AK86" s="283"/>
      <c r="AL86" s="283"/>
      <c r="AM86" s="283"/>
      <c r="AN86" s="283"/>
      <c r="AO86" s="283"/>
      <c r="AP86" s="283"/>
      <c r="AQ86" s="284"/>
      <c r="AR86" s="252"/>
      <c r="AS86" s="252"/>
      <c r="AT86" s="252"/>
      <c r="AU86" s="252"/>
      <c r="AV86" s="252"/>
      <c r="AW86" s="252"/>
      <c r="AX86" s="252"/>
      <c r="AY86" s="252"/>
      <c r="AZ86" s="252"/>
      <c r="BA86" s="252"/>
      <c r="BB86" s="252"/>
      <c r="BC86" s="252"/>
      <c r="BD86" s="252"/>
      <c r="BE86" s="252"/>
      <c r="BF86" s="252"/>
      <c r="BG86" s="252"/>
      <c r="BH86" s="252"/>
      <c r="BI86" s="252"/>
      <c r="BJ86" s="252"/>
      <c r="BK86" s="252"/>
      <c r="BL86" s="252"/>
    </row>
    <row r="87" ht="18.75" hidden="1" customHeight="1">
      <c r="A87" s="2"/>
      <c r="B87" s="268" t="str">
        <f t="shared" ref="B87:B90" si="8">$M$3 &amp; " - " &amp; M5</f>
        <v>Hueycoatl - Hueycoatl Hide</v>
      </c>
      <c r="C87" s="269"/>
      <c r="D87" s="269"/>
      <c r="E87" s="269"/>
      <c r="F87" s="269"/>
      <c r="G87" s="270"/>
      <c r="H87" s="271" t="s">
        <v>578</v>
      </c>
      <c r="I87" s="269"/>
      <c r="J87" s="270"/>
      <c r="K87" s="272">
        <f t="shared" si="4"/>
        <v>5</v>
      </c>
      <c r="L87" s="271">
        <f t="shared" ref="L87:L90" si="9">$V$3</f>
        <v>8</v>
      </c>
      <c r="M87" s="269"/>
      <c r="N87" s="270"/>
      <c r="O87" s="273">
        <f t="shared" ref="O87:O90" si="10">U5</f>
        <v>1</v>
      </c>
      <c r="P87" s="269"/>
      <c r="Q87" s="270"/>
      <c r="R87" s="274">
        <f t="shared" si="7"/>
        <v>0.625</v>
      </c>
      <c r="S87" s="269"/>
      <c r="T87" s="275"/>
      <c r="U87" s="276"/>
      <c r="V87" s="252"/>
      <c r="W87" s="277" t="s">
        <v>407</v>
      </c>
      <c r="X87" s="278"/>
      <c r="Y87" s="278"/>
      <c r="Z87" s="278"/>
      <c r="AA87" s="278"/>
      <c r="AB87" s="279"/>
      <c r="AC87" s="280">
        <v>803842.0</v>
      </c>
      <c r="AD87" s="269"/>
      <c r="AE87" s="269"/>
      <c r="AF87" s="281"/>
      <c r="AG87" s="282" t="s">
        <v>585</v>
      </c>
      <c r="AH87" s="283"/>
      <c r="AI87" s="283"/>
      <c r="AJ87" s="283"/>
      <c r="AK87" s="283"/>
      <c r="AL87" s="283"/>
      <c r="AM87" s="283"/>
      <c r="AN87" s="283"/>
      <c r="AO87" s="283"/>
      <c r="AP87" s="283"/>
      <c r="AQ87" s="284"/>
      <c r="AR87" s="252"/>
      <c r="AS87" s="252"/>
      <c r="AT87" s="252"/>
      <c r="AU87" s="252"/>
      <c r="AV87" s="252"/>
      <c r="AW87" s="252"/>
      <c r="AX87" s="252"/>
      <c r="AY87" s="252"/>
      <c r="AZ87" s="252"/>
      <c r="BA87" s="252"/>
      <c r="BB87" s="252"/>
      <c r="BC87" s="252"/>
      <c r="BD87" s="252"/>
      <c r="BE87" s="252"/>
      <c r="BF87" s="252"/>
      <c r="BG87" s="252"/>
      <c r="BH87" s="252"/>
      <c r="BI87" s="252"/>
      <c r="BJ87" s="252"/>
      <c r="BK87" s="252"/>
      <c r="BL87" s="252"/>
    </row>
    <row r="88" ht="18.75" hidden="1" customHeight="1">
      <c r="A88" s="2"/>
      <c r="B88" s="268" t="str">
        <f t="shared" si="8"/>
        <v>Hueycoatl - Tome of Earth</v>
      </c>
      <c r="C88" s="269"/>
      <c r="D88" s="269"/>
      <c r="E88" s="269"/>
      <c r="F88" s="269"/>
      <c r="G88" s="270"/>
      <c r="H88" s="271" t="s">
        <v>578</v>
      </c>
      <c r="I88" s="269"/>
      <c r="J88" s="270"/>
      <c r="K88" s="272">
        <f t="shared" si="4"/>
        <v>5</v>
      </c>
      <c r="L88" s="271">
        <f t="shared" si="9"/>
        <v>8</v>
      </c>
      <c r="M88" s="269"/>
      <c r="N88" s="270"/>
      <c r="O88" s="273">
        <f t="shared" si="10"/>
        <v>2</v>
      </c>
      <c r="P88" s="269"/>
      <c r="Q88" s="270"/>
      <c r="R88" s="274">
        <f t="shared" si="7"/>
        <v>1.25</v>
      </c>
      <c r="S88" s="269"/>
      <c r="T88" s="275"/>
      <c r="U88" s="276"/>
      <c r="V88" s="252"/>
      <c r="W88" s="277" t="s">
        <v>472</v>
      </c>
      <c r="X88" s="278"/>
      <c r="Y88" s="278"/>
      <c r="Z88" s="278"/>
      <c r="AA88" s="278"/>
      <c r="AB88" s="279"/>
      <c r="AC88" s="280">
        <v>4.4786457E7</v>
      </c>
      <c r="AD88" s="269"/>
      <c r="AE88" s="269"/>
      <c r="AF88" s="281"/>
      <c r="AG88" s="282" t="s">
        <v>586</v>
      </c>
      <c r="AH88" s="283"/>
      <c r="AI88" s="283"/>
      <c r="AJ88" s="283"/>
      <c r="AK88" s="283"/>
      <c r="AL88" s="283"/>
      <c r="AM88" s="283"/>
      <c r="AN88" s="283"/>
      <c r="AO88" s="283"/>
      <c r="AP88" s="283"/>
      <c r="AQ88" s="284"/>
      <c r="AR88" s="252"/>
      <c r="AS88" s="252"/>
      <c r="AT88" s="252"/>
      <c r="AU88" s="252"/>
      <c r="AV88" s="252"/>
      <c r="AW88" s="252"/>
      <c r="AX88" s="252"/>
      <c r="AY88" s="252"/>
      <c r="AZ88" s="252"/>
      <c r="BA88" s="252"/>
      <c r="BB88" s="252"/>
      <c r="BC88" s="252"/>
      <c r="BD88" s="252"/>
      <c r="BE88" s="252"/>
      <c r="BF88" s="252"/>
      <c r="BG88" s="252"/>
      <c r="BH88" s="252"/>
      <c r="BI88" s="252"/>
      <c r="BJ88" s="252"/>
      <c r="BK88" s="252"/>
      <c r="BL88" s="252"/>
    </row>
    <row r="89" ht="18.75" hidden="1" customHeight="1">
      <c r="A89" s="2"/>
      <c r="B89" s="268" t="str">
        <f t="shared" si="8"/>
        <v>Hueycoatl - Dragon Hunter Wand</v>
      </c>
      <c r="C89" s="269"/>
      <c r="D89" s="269"/>
      <c r="E89" s="269"/>
      <c r="F89" s="269"/>
      <c r="G89" s="270"/>
      <c r="H89" s="271" t="s">
        <v>578</v>
      </c>
      <c r="I89" s="269"/>
      <c r="J89" s="270"/>
      <c r="K89" s="272">
        <f t="shared" si="4"/>
        <v>5</v>
      </c>
      <c r="L89" s="271">
        <f t="shared" si="9"/>
        <v>8</v>
      </c>
      <c r="M89" s="269"/>
      <c r="N89" s="270"/>
      <c r="O89" s="273">
        <f t="shared" si="10"/>
        <v>2</v>
      </c>
      <c r="P89" s="269"/>
      <c r="Q89" s="270"/>
      <c r="R89" s="274">
        <f t="shared" si="7"/>
        <v>1.25</v>
      </c>
      <c r="S89" s="269"/>
      <c r="T89" s="275"/>
      <c r="U89" s="276"/>
      <c r="V89" s="252"/>
      <c r="W89" s="285" t="s">
        <v>466</v>
      </c>
      <c r="X89" s="269"/>
      <c r="Y89" s="269"/>
      <c r="Z89" s="269"/>
      <c r="AA89" s="269"/>
      <c r="AB89" s="281"/>
      <c r="AC89" s="280">
        <v>1.0352455E7</v>
      </c>
      <c r="AD89" s="269"/>
      <c r="AE89" s="269"/>
      <c r="AF89" s="281"/>
      <c r="AG89" s="286" t="s">
        <v>147</v>
      </c>
      <c r="AH89" s="287"/>
      <c r="AI89" s="287"/>
      <c r="AJ89" s="287"/>
      <c r="AK89" s="287"/>
      <c r="AL89" s="287"/>
      <c r="AM89" s="287"/>
      <c r="AN89" s="287"/>
      <c r="AO89" s="287"/>
      <c r="AP89" s="287"/>
      <c r="AQ89" s="288"/>
      <c r="AR89" s="252"/>
      <c r="AS89" s="252"/>
      <c r="AT89" s="252"/>
      <c r="AU89" s="252"/>
      <c r="AV89" s="252"/>
      <c r="AW89" s="252"/>
      <c r="AX89" s="252"/>
      <c r="AY89" s="252"/>
      <c r="AZ89" s="252"/>
      <c r="BA89" s="252"/>
      <c r="BB89" s="252"/>
      <c r="BC89" s="252"/>
      <c r="BD89" s="252"/>
      <c r="BE89" s="252"/>
      <c r="BF89" s="252"/>
      <c r="BG89" s="252"/>
      <c r="BH89" s="252"/>
      <c r="BI89" s="252"/>
      <c r="BJ89" s="252"/>
      <c r="BK89" s="252"/>
      <c r="BL89" s="252"/>
    </row>
    <row r="90" ht="18.75" hidden="1" customHeight="1">
      <c r="A90" s="2"/>
      <c r="B90" s="268" t="str">
        <f t="shared" si="8"/>
        <v>Hueycoatl - Huberte</v>
      </c>
      <c r="C90" s="269"/>
      <c r="D90" s="269"/>
      <c r="E90" s="269"/>
      <c r="F90" s="269"/>
      <c r="G90" s="270"/>
      <c r="H90" s="271" t="s">
        <v>578</v>
      </c>
      <c r="I90" s="269"/>
      <c r="J90" s="270"/>
      <c r="K90" s="272">
        <f t="shared" si="4"/>
        <v>5</v>
      </c>
      <c r="L90" s="271">
        <f t="shared" si="9"/>
        <v>8</v>
      </c>
      <c r="M90" s="269"/>
      <c r="N90" s="270"/>
      <c r="O90" s="273">
        <f t="shared" si="10"/>
        <v>3</v>
      </c>
      <c r="P90" s="269"/>
      <c r="Q90" s="270"/>
      <c r="R90" s="274">
        <f t="shared" si="7"/>
        <v>1.875</v>
      </c>
      <c r="S90" s="269"/>
      <c r="T90" s="275"/>
      <c r="U90" s="276"/>
      <c r="V90" s="252"/>
      <c r="W90" s="285" t="s">
        <v>587</v>
      </c>
      <c r="X90" s="269"/>
      <c r="Y90" s="269"/>
      <c r="Z90" s="269"/>
      <c r="AA90" s="269"/>
      <c r="AB90" s="281"/>
      <c r="AC90" s="280">
        <v>620537.0</v>
      </c>
      <c r="AD90" s="269"/>
      <c r="AE90" s="269"/>
      <c r="AF90" s="281"/>
      <c r="AG90" s="286" t="s">
        <v>588</v>
      </c>
      <c r="AH90" s="287"/>
      <c r="AI90" s="287"/>
      <c r="AJ90" s="287"/>
      <c r="AK90" s="287"/>
      <c r="AL90" s="287"/>
      <c r="AM90" s="287"/>
      <c r="AN90" s="287"/>
      <c r="AO90" s="287"/>
      <c r="AP90" s="287"/>
      <c r="AQ90" s="288"/>
      <c r="AR90" s="252"/>
      <c r="AS90" s="252"/>
      <c r="AT90" s="252"/>
      <c r="AU90" s="252"/>
      <c r="AV90" s="252"/>
      <c r="AW90" s="252"/>
      <c r="AX90" s="252"/>
      <c r="AY90" s="252"/>
      <c r="AZ90" s="252"/>
      <c r="BA90" s="252"/>
      <c r="BB90" s="252"/>
      <c r="BC90" s="252"/>
      <c r="BD90" s="252"/>
      <c r="BE90" s="252"/>
      <c r="BF90" s="252"/>
      <c r="BG90" s="252"/>
      <c r="BH90" s="252"/>
      <c r="BI90" s="252"/>
      <c r="BJ90" s="252"/>
      <c r="BK90" s="252"/>
      <c r="BL90" s="252"/>
    </row>
    <row r="91" ht="18.75" hidden="1" customHeight="1">
      <c r="A91" s="2"/>
      <c r="B91" s="268" t="str">
        <f t="shared" ref="B91:B97" si="11">$W$3 &amp; " - " &amp; W5</f>
        <v>Grotesque Guardians - Granite Maul</v>
      </c>
      <c r="C91" s="269"/>
      <c r="D91" s="269"/>
      <c r="E91" s="269"/>
      <c r="F91" s="269"/>
      <c r="G91" s="270"/>
      <c r="H91" s="271" t="s">
        <v>589</v>
      </c>
      <c r="I91" s="269"/>
      <c r="J91" s="270"/>
      <c r="K91" s="272">
        <f t="shared" si="4"/>
        <v>10</v>
      </c>
      <c r="L91" s="271">
        <f t="shared" ref="L91:L97" si="12">$AF$3</f>
        <v>8</v>
      </c>
      <c r="M91" s="269"/>
      <c r="N91" s="270"/>
      <c r="O91" s="273">
        <f t="shared" ref="O91:O97" si="13">AE5</f>
        <v>1</v>
      </c>
      <c r="P91" s="269"/>
      <c r="Q91" s="270"/>
      <c r="R91" s="274">
        <f t="shared" si="7"/>
        <v>1.25</v>
      </c>
      <c r="S91" s="269"/>
      <c r="T91" s="275"/>
      <c r="U91" s="276"/>
      <c r="V91" s="252"/>
      <c r="W91" s="285" t="s">
        <v>590</v>
      </c>
      <c r="X91" s="269"/>
      <c r="Y91" s="269"/>
      <c r="Z91" s="269"/>
      <c r="AA91" s="269"/>
      <c r="AB91" s="281"/>
      <c r="AC91" s="280">
        <v>620537.0</v>
      </c>
      <c r="AD91" s="269"/>
      <c r="AE91" s="269"/>
      <c r="AF91" s="281"/>
      <c r="AG91" s="286" t="s">
        <v>591</v>
      </c>
      <c r="AH91" s="287"/>
      <c r="AI91" s="287"/>
      <c r="AJ91" s="287"/>
      <c r="AK91" s="287"/>
      <c r="AL91" s="287"/>
      <c r="AM91" s="287"/>
      <c r="AN91" s="287"/>
      <c r="AO91" s="287"/>
      <c r="AP91" s="287"/>
      <c r="AQ91" s="288"/>
      <c r="AR91" s="252"/>
      <c r="AS91" s="252"/>
      <c r="AT91" s="252"/>
      <c r="AU91" s="252"/>
      <c r="AV91" s="252"/>
      <c r="AW91" s="252"/>
      <c r="AX91" s="252"/>
      <c r="AY91" s="252"/>
      <c r="AZ91" s="252"/>
      <c r="BA91" s="252"/>
      <c r="BB91" s="252"/>
      <c r="BC91" s="252"/>
      <c r="BD91" s="252"/>
      <c r="BE91" s="252"/>
      <c r="BF91" s="252"/>
      <c r="BG91" s="252"/>
      <c r="BH91" s="252"/>
      <c r="BI91" s="252"/>
      <c r="BJ91" s="252"/>
      <c r="BK91" s="252"/>
      <c r="BL91" s="252"/>
    </row>
    <row r="92" ht="18.75" hidden="1" customHeight="1">
      <c r="A92" s="2"/>
      <c r="B92" s="268" t="str">
        <f t="shared" si="11"/>
        <v>Grotesque Guardians - Granite Gloves</v>
      </c>
      <c r="C92" s="269"/>
      <c r="D92" s="269"/>
      <c r="E92" s="269"/>
      <c r="F92" s="269"/>
      <c r="G92" s="270"/>
      <c r="H92" s="271" t="s">
        <v>589</v>
      </c>
      <c r="I92" s="269"/>
      <c r="J92" s="270"/>
      <c r="K92" s="272">
        <f t="shared" si="4"/>
        <v>10</v>
      </c>
      <c r="L92" s="271">
        <f t="shared" si="12"/>
        <v>8</v>
      </c>
      <c r="M92" s="269"/>
      <c r="N92" s="270"/>
      <c r="O92" s="273">
        <f t="shared" si="13"/>
        <v>1</v>
      </c>
      <c r="P92" s="269"/>
      <c r="Q92" s="270"/>
      <c r="R92" s="274">
        <f t="shared" si="7"/>
        <v>1.25</v>
      </c>
      <c r="S92" s="269"/>
      <c r="T92" s="275"/>
      <c r="U92" s="276"/>
      <c r="V92" s="252"/>
      <c r="W92" s="285" t="s">
        <v>592</v>
      </c>
      <c r="X92" s="269"/>
      <c r="Y92" s="269"/>
      <c r="Z92" s="269"/>
      <c r="AA92" s="269"/>
      <c r="AB92" s="281"/>
      <c r="AC92" s="280">
        <v>620537.0</v>
      </c>
      <c r="AD92" s="269"/>
      <c r="AE92" s="269"/>
      <c r="AF92" s="281"/>
      <c r="AG92" s="286" t="s">
        <v>593</v>
      </c>
      <c r="AH92" s="287"/>
      <c r="AI92" s="287"/>
      <c r="AJ92" s="287"/>
      <c r="AK92" s="287"/>
      <c r="AL92" s="287"/>
      <c r="AM92" s="287"/>
      <c r="AN92" s="287"/>
      <c r="AO92" s="287"/>
      <c r="AP92" s="287"/>
      <c r="AQ92" s="288"/>
      <c r="AR92" s="252"/>
      <c r="AS92" s="252"/>
      <c r="AT92" s="252"/>
      <c r="AU92" s="252"/>
      <c r="AV92" s="252"/>
      <c r="AW92" s="252"/>
      <c r="AX92" s="252"/>
      <c r="AY92" s="252"/>
      <c r="AZ92" s="252"/>
      <c r="BA92" s="252"/>
      <c r="BB92" s="252"/>
      <c r="BC92" s="252"/>
      <c r="BD92" s="252"/>
      <c r="BE92" s="252"/>
      <c r="BF92" s="252"/>
      <c r="BG92" s="252"/>
      <c r="BH92" s="252"/>
      <c r="BI92" s="252"/>
      <c r="BJ92" s="252"/>
      <c r="BK92" s="252"/>
      <c r="BL92" s="252"/>
    </row>
    <row r="93" ht="18.75" hidden="1" customHeight="1">
      <c r="A93" s="2"/>
      <c r="B93" s="268" t="str">
        <f t="shared" si="11"/>
        <v>Grotesque Guardians - Granite Ring</v>
      </c>
      <c r="C93" s="269"/>
      <c r="D93" s="269"/>
      <c r="E93" s="269"/>
      <c r="F93" s="269"/>
      <c r="G93" s="270"/>
      <c r="H93" s="271" t="s">
        <v>589</v>
      </c>
      <c r="I93" s="269"/>
      <c r="J93" s="270"/>
      <c r="K93" s="272">
        <f t="shared" si="4"/>
        <v>10</v>
      </c>
      <c r="L93" s="271">
        <f t="shared" si="12"/>
        <v>8</v>
      </c>
      <c r="M93" s="269"/>
      <c r="N93" s="270"/>
      <c r="O93" s="273">
        <f t="shared" si="13"/>
        <v>1</v>
      </c>
      <c r="P93" s="269"/>
      <c r="Q93" s="270"/>
      <c r="R93" s="274">
        <f t="shared" si="7"/>
        <v>1.25</v>
      </c>
      <c r="S93" s="269"/>
      <c r="T93" s="275"/>
      <c r="U93" s="276"/>
      <c r="V93" s="252"/>
      <c r="W93" s="285" t="s">
        <v>461</v>
      </c>
      <c r="X93" s="269"/>
      <c r="Y93" s="269"/>
      <c r="Z93" s="269"/>
      <c r="AA93" s="269"/>
      <c r="AB93" s="281"/>
      <c r="AC93" s="280">
        <v>79119.0</v>
      </c>
      <c r="AD93" s="269"/>
      <c r="AE93" s="269"/>
      <c r="AF93" s="281"/>
      <c r="AG93" s="286" t="s">
        <v>594</v>
      </c>
      <c r="AH93" s="287"/>
      <c r="AI93" s="287"/>
      <c r="AJ93" s="287"/>
      <c r="AK93" s="287"/>
      <c r="AL93" s="287"/>
      <c r="AM93" s="287"/>
      <c r="AN93" s="287"/>
      <c r="AO93" s="287"/>
      <c r="AP93" s="287"/>
      <c r="AQ93" s="288"/>
      <c r="AR93" s="252"/>
      <c r="AS93" s="252"/>
      <c r="AT93" s="252"/>
      <c r="AU93" s="252"/>
      <c r="AV93" s="252"/>
      <c r="AW93" s="252"/>
      <c r="AX93" s="252"/>
      <c r="AY93" s="252"/>
      <c r="AZ93" s="252"/>
      <c r="BA93" s="252"/>
      <c r="BB93" s="252"/>
      <c r="BC93" s="252"/>
      <c r="BD93" s="252"/>
      <c r="BE93" s="252"/>
      <c r="BF93" s="252"/>
      <c r="BG93" s="252"/>
      <c r="BH93" s="252"/>
      <c r="BI93" s="252"/>
      <c r="BJ93" s="252"/>
      <c r="BK93" s="252"/>
      <c r="BL93" s="252"/>
    </row>
    <row r="94" ht="18.75" hidden="1" customHeight="1">
      <c r="A94" s="2"/>
      <c r="B94" s="268" t="str">
        <f t="shared" si="11"/>
        <v>Grotesque Guardians - Granite Hammer</v>
      </c>
      <c r="C94" s="269"/>
      <c r="D94" s="269"/>
      <c r="E94" s="269"/>
      <c r="F94" s="269"/>
      <c r="G94" s="270"/>
      <c r="H94" s="271" t="s">
        <v>589</v>
      </c>
      <c r="I94" s="269"/>
      <c r="J94" s="270"/>
      <c r="K94" s="272">
        <f t="shared" si="4"/>
        <v>10</v>
      </c>
      <c r="L94" s="271">
        <f t="shared" si="12"/>
        <v>8</v>
      </c>
      <c r="M94" s="269"/>
      <c r="N94" s="270"/>
      <c r="O94" s="273">
        <f t="shared" si="13"/>
        <v>2</v>
      </c>
      <c r="P94" s="269"/>
      <c r="Q94" s="270"/>
      <c r="R94" s="274">
        <f t="shared" si="7"/>
        <v>2.5</v>
      </c>
      <c r="S94" s="269"/>
      <c r="T94" s="275"/>
      <c r="U94" s="276"/>
      <c r="V94" s="252"/>
      <c r="W94" s="285" t="s">
        <v>384</v>
      </c>
      <c r="X94" s="269"/>
      <c r="Y94" s="269"/>
      <c r="Z94" s="269"/>
      <c r="AA94" s="269"/>
      <c r="AB94" s="281"/>
      <c r="AC94" s="280">
        <v>3.1285153E7</v>
      </c>
      <c r="AD94" s="269"/>
      <c r="AE94" s="269"/>
      <c r="AF94" s="281"/>
      <c r="AG94" s="289" t="s">
        <v>595</v>
      </c>
      <c r="AH94" s="287"/>
      <c r="AI94" s="287"/>
      <c r="AJ94" s="287"/>
      <c r="AK94" s="287"/>
      <c r="AL94" s="287"/>
      <c r="AM94" s="287"/>
      <c r="AN94" s="287"/>
      <c r="AO94" s="287"/>
      <c r="AP94" s="287"/>
      <c r="AQ94" s="288"/>
      <c r="AR94" s="252"/>
      <c r="AS94" s="252"/>
      <c r="AT94" s="252"/>
      <c r="AU94" s="252"/>
      <c r="AV94" s="252"/>
      <c r="AW94" s="252"/>
      <c r="AX94" s="252"/>
      <c r="AY94" s="252"/>
      <c r="AZ94" s="252"/>
      <c r="BA94" s="252"/>
      <c r="BB94" s="252"/>
      <c r="BC94" s="252"/>
      <c r="BD94" s="252"/>
      <c r="BE94" s="252"/>
      <c r="BF94" s="252"/>
      <c r="BG94" s="252"/>
      <c r="BH94" s="252"/>
      <c r="BI94" s="252"/>
      <c r="BJ94" s="252"/>
      <c r="BK94" s="252"/>
      <c r="BL94" s="252"/>
    </row>
    <row r="95" ht="18.75" hidden="1" customHeight="1">
      <c r="A95" s="2"/>
      <c r="B95" s="268" t="str">
        <f t="shared" si="11"/>
        <v>Grotesque Guardians - Black Tourmaline Core</v>
      </c>
      <c r="C95" s="269"/>
      <c r="D95" s="269"/>
      <c r="E95" s="269"/>
      <c r="F95" s="269"/>
      <c r="G95" s="270"/>
      <c r="H95" s="271" t="s">
        <v>589</v>
      </c>
      <c r="I95" s="269"/>
      <c r="J95" s="270"/>
      <c r="K95" s="272">
        <f t="shared" si="4"/>
        <v>10</v>
      </c>
      <c r="L95" s="271">
        <f t="shared" si="12"/>
        <v>8</v>
      </c>
      <c r="M95" s="269"/>
      <c r="N95" s="270"/>
      <c r="O95" s="273">
        <f t="shared" si="13"/>
        <v>2</v>
      </c>
      <c r="P95" s="269"/>
      <c r="Q95" s="270"/>
      <c r="R95" s="274">
        <f t="shared" si="7"/>
        <v>2.5</v>
      </c>
      <c r="S95" s="269"/>
      <c r="T95" s="275"/>
      <c r="U95" s="276"/>
      <c r="V95" s="252"/>
      <c r="W95" s="285" t="s">
        <v>596</v>
      </c>
      <c r="X95" s="269"/>
      <c r="Y95" s="269"/>
      <c r="Z95" s="269"/>
      <c r="AA95" s="269"/>
      <c r="AB95" s="281"/>
      <c r="AC95" s="280">
        <v>1.3594711E7</v>
      </c>
      <c r="AD95" s="269"/>
      <c r="AE95" s="269"/>
      <c r="AF95" s="281"/>
      <c r="AG95" s="289" t="s">
        <v>597</v>
      </c>
      <c r="AH95" s="287"/>
      <c r="AI95" s="287"/>
      <c r="AJ95" s="287"/>
      <c r="AK95" s="287"/>
      <c r="AL95" s="287"/>
      <c r="AM95" s="287"/>
      <c r="AN95" s="287"/>
      <c r="AO95" s="287"/>
      <c r="AP95" s="287"/>
      <c r="AQ95" s="288"/>
      <c r="AR95" s="252"/>
      <c r="AS95" s="252"/>
      <c r="AT95" s="252"/>
      <c r="AU95" s="252"/>
      <c r="AV95" s="252"/>
      <c r="AW95" s="252"/>
      <c r="AX95" s="252"/>
      <c r="AY95" s="252"/>
      <c r="AZ95" s="252"/>
      <c r="BA95" s="252"/>
      <c r="BB95" s="252"/>
      <c r="BC95" s="252"/>
      <c r="BD95" s="252"/>
      <c r="BE95" s="252"/>
      <c r="BF95" s="252"/>
      <c r="BG95" s="252"/>
      <c r="BH95" s="252"/>
      <c r="BI95" s="252"/>
      <c r="BJ95" s="252"/>
      <c r="BK95" s="252"/>
      <c r="BL95" s="252"/>
    </row>
    <row r="96" ht="18.75" hidden="1" customHeight="1">
      <c r="A96" s="2"/>
      <c r="B96" s="268" t="str">
        <f t="shared" si="11"/>
        <v>Grotesque Guardians - Jar of Stone</v>
      </c>
      <c r="C96" s="269"/>
      <c r="D96" s="269"/>
      <c r="E96" s="269"/>
      <c r="F96" s="269"/>
      <c r="G96" s="270"/>
      <c r="H96" s="271" t="s">
        <v>589</v>
      </c>
      <c r="I96" s="269"/>
      <c r="J96" s="270"/>
      <c r="K96" s="272">
        <f t="shared" si="4"/>
        <v>10</v>
      </c>
      <c r="L96" s="271">
        <f t="shared" si="12"/>
        <v>8</v>
      </c>
      <c r="M96" s="269"/>
      <c r="N96" s="270"/>
      <c r="O96" s="273">
        <f t="shared" si="13"/>
        <v>3</v>
      </c>
      <c r="P96" s="269"/>
      <c r="Q96" s="270"/>
      <c r="R96" s="274">
        <f t="shared" si="7"/>
        <v>3.75</v>
      </c>
      <c r="S96" s="269"/>
      <c r="T96" s="275"/>
      <c r="U96" s="276"/>
      <c r="V96" s="252"/>
      <c r="W96" s="285" t="s">
        <v>598</v>
      </c>
      <c r="X96" s="269"/>
      <c r="Y96" s="269"/>
      <c r="Z96" s="269"/>
      <c r="AA96" s="269"/>
      <c r="AB96" s="281"/>
      <c r="AC96" s="280">
        <v>1.3594711E7</v>
      </c>
      <c r="AD96" s="269"/>
      <c r="AE96" s="269"/>
      <c r="AF96" s="281"/>
      <c r="AG96" s="289" t="s">
        <v>599</v>
      </c>
      <c r="AH96" s="287"/>
      <c r="AI96" s="287"/>
      <c r="AJ96" s="287"/>
      <c r="AK96" s="287"/>
      <c r="AL96" s="287"/>
      <c r="AM96" s="287"/>
      <c r="AN96" s="287"/>
      <c r="AO96" s="287"/>
      <c r="AP96" s="287"/>
      <c r="AQ96" s="288"/>
      <c r="AR96" s="252"/>
      <c r="AS96" s="252"/>
      <c r="AT96" s="252"/>
      <c r="AU96" s="252"/>
      <c r="AV96" s="252"/>
      <c r="AW96" s="252"/>
      <c r="AX96" s="252"/>
      <c r="AY96" s="252"/>
      <c r="AZ96" s="252"/>
      <c r="BA96" s="252"/>
      <c r="BB96" s="252"/>
      <c r="BC96" s="252"/>
      <c r="BD96" s="252"/>
      <c r="BE96" s="252"/>
      <c r="BF96" s="252"/>
      <c r="BG96" s="252"/>
      <c r="BH96" s="252"/>
      <c r="BI96" s="252"/>
      <c r="BJ96" s="252"/>
      <c r="BK96" s="252"/>
      <c r="BL96" s="252"/>
    </row>
    <row r="97" ht="18.75" hidden="1" customHeight="1">
      <c r="A97" s="2"/>
      <c r="B97" s="268" t="str">
        <f t="shared" si="11"/>
        <v>Grotesque Guardians - Noon</v>
      </c>
      <c r="C97" s="269"/>
      <c r="D97" s="269"/>
      <c r="E97" s="269"/>
      <c r="F97" s="269"/>
      <c r="G97" s="270"/>
      <c r="H97" s="271" t="s">
        <v>589</v>
      </c>
      <c r="I97" s="269"/>
      <c r="J97" s="270"/>
      <c r="K97" s="272">
        <f t="shared" si="4"/>
        <v>10</v>
      </c>
      <c r="L97" s="271">
        <f t="shared" si="12"/>
        <v>8</v>
      </c>
      <c r="M97" s="269"/>
      <c r="N97" s="270"/>
      <c r="O97" s="273">
        <f t="shared" si="13"/>
        <v>3</v>
      </c>
      <c r="P97" s="269"/>
      <c r="Q97" s="270"/>
      <c r="R97" s="274">
        <f t="shared" si="7"/>
        <v>3.75</v>
      </c>
      <c r="S97" s="269"/>
      <c r="T97" s="275"/>
      <c r="U97" s="276"/>
      <c r="V97" s="252"/>
      <c r="W97" s="285" t="s">
        <v>600</v>
      </c>
      <c r="X97" s="269"/>
      <c r="Y97" s="269"/>
      <c r="Z97" s="269"/>
      <c r="AA97" s="269"/>
      <c r="AB97" s="281"/>
      <c r="AC97" s="280">
        <v>1.3594711E7</v>
      </c>
      <c r="AD97" s="269"/>
      <c r="AE97" s="269"/>
      <c r="AF97" s="281"/>
      <c r="AG97" s="289" t="s">
        <v>601</v>
      </c>
      <c r="AH97" s="287"/>
      <c r="AI97" s="287"/>
      <c r="AJ97" s="287"/>
      <c r="AK97" s="287"/>
      <c r="AL97" s="287"/>
      <c r="AM97" s="287"/>
      <c r="AN97" s="287"/>
      <c r="AO97" s="287"/>
      <c r="AP97" s="287"/>
      <c r="AQ97" s="288"/>
      <c r="AR97" s="252"/>
      <c r="AS97" s="252"/>
      <c r="AT97" s="252"/>
      <c r="AU97" s="252"/>
      <c r="AV97" s="252"/>
      <c r="AW97" s="252"/>
      <c r="AX97" s="252"/>
      <c r="AY97" s="252"/>
      <c r="AZ97" s="252"/>
      <c r="BA97" s="252"/>
      <c r="BB97" s="252"/>
      <c r="BC97" s="252"/>
      <c r="BD97" s="252"/>
      <c r="BE97" s="252"/>
      <c r="BF97" s="252"/>
      <c r="BG97" s="252"/>
      <c r="BH97" s="252"/>
      <c r="BI97" s="252"/>
      <c r="BJ97" s="252"/>
      <c r="BK97" s="252"/>
      <c r="BL97" s="252"/>
    </row>
    <row r="98" ht="18.75" hidden="1" customHeight="1">
      <c r="A98" s="2"/>
      <c r="B98" s="268" t="str">
        <f t="shared" ref="B98:B99" si="14">$AG$3 &amp; " - " &amp; AG5</f>
        <v>Tormented Demons - Tormented Synapse</v>
      </c>
      <c r="C98" s="269"/>
      <c r="D98" s="269"/>
      <c r="E98" s="269"/>
      <c r="F98" s="269"/>
      <c r="G98" s="270"/>
      <c r="H98" s="271" t="s">
        <v>589</v>
      </c>
      <c r="I98" s="269"/>
      <c r="J98" s="270"/>
      <c r="K98" s="272">
        <f t="shared" si="4"/>
        <v>10</v>
      </c>
      <c r="L98" s="271">
        <f t="shared" ref="L98:L99" si="15">$AP$3</f>
        <v>3</v>
      </c>
      <c r="M98" s="269"/>
      <c r="N98" s="270"/>
      <c r="O98" s="273">
        <f t="shared" ref="O98:O99" si="16">AO5</f>
        <v>1</v>
      </c>
      <c r="P98" s="269"/>
      <c r="Q98" s="270"/>
      <c r="R98" s="274">
        <f t="shared" si="7"/>
        <v>3.333333333</v>
      </c>
      <c r="S98" s="269"/>
      <c r="T98" s="275"/>
      <c r="U98" s="276"/>
      <c r="V98" s="252"/>
      <c r="W98" s="285" t="s">
        <v>405</v>
      </c>
      <c r="X98" s="269"/>
      <c r="Y98" s="269"/>
      <c r="Z98" s="269"/>
      <c r="AA98" s="269"/>
      <c r="AB98" s="281"/>
      <c r="AC98" s="280">
        <v>1666225.0</v>
      </c>
      <c r="AD98" s="269"/>
      <c r="AE98" s="269"/>
      <c r="AF98" s="281"/>
      <c r="AG98" s="289" t="s">
        <v>113</v>
      </c>
      <c r="AH98" s="287"/>
      <c r="AI98" s="287"/>
      <c r="AJ98" s="287"/>
      <c r="AK98" s="287"/>
      <c r="AL98" s="287"/>
      <c r="AM98" s="287"/>
      <c r="AN98" s="287"/>
      <c r="AO98" s="287"/>
      <c r="AP98" s="287"/>
      <c r="AQ98" s="288"/>
      <c r="AR98" s="252"/>
      <c r="AS98" s="252"/>
      <c r="AT98" s="252"/>
      <c r="AU98" s="252"/>
      <c r="AV98" s="252"/>
      <c r="AW98" s="252"/>
      <c r="AX98" s="252"/>
      <c r="AY98" s="252"/>
      <c r="AZ98" s="252"/>
      <c r="BA98" s="252"/>
      <c r="BB98" s="252"/>
      <c r="BC98" s="252"/>
      <c r="BD98" s="252"/>
      <c r="BE98" s="252"/>
      <c r="BF98" s="252"/>
      <c r="BG98" s="252"/>
      <c r="BH98" s="252"/>
      <c r="BI98" s="252"/>
      <c r="BJ98" s="252"/>
      <c r="BK98" s="252"/>
      <c r="BL98" s="252"/>
    </row>
    <row r="99" ht="18.75" hidden="1" customHeight="1">
      <c r="A99" s="2"/>
      <c r="B99" s="268" t="str">
        <f t="shared" si="14"/>
        <v>Tormented Demons - Burning Claw</v>
      </c>
      <c r="C99" s="269"/>
      <c r="D99" s="269"/>
      <c r="E99" s="269"/>
      <c r="F99" s="269"/>
      <c r="G99" s="270"/>
      <c r="H99" s="271" t="s">
        <v>602</v>
      </c>
      <c r="I99" s="269"/>
      <c r="J99" s="270"/>
      <c r="K99" s="272">
        <f t="shared" si="4"/>
        <v>10</v>
      </c>
      <c r="L99" s="271">
        <f t="shared" si="15"/>
        <v>3</v>
      </c>
      <c r="M99" s="269"/>
      <c r="N99" s="270"/>
      <c r="O99" s="273">
        <f t="shared" si="16"/>
        <v>1</v>
      </c>
      <c r="P99" s="269"/>
      <c r="Q99" s="270"/>
      <c r="R99" s="274">
        <f t="shared" si="7"/>
        <v>3.333333333</v>
      </c>
      <c r="S99" s="269"/>
      <c r="T99" s="275"/>
      <c r="U99" s="276"/>
      <c r="V99" s="252"/>
      <c r="W99" s="285" t="s">
        <v>410</v>
      </c>
      <c r="X99" s="269"/>
      <c r="Y99" s="269"/>
      <c r="Z99" s="269"/>
      <c r="AA99" s="269"/>
      <c r="AB99" s="281"/>
      <c r="AC99" s="280">
        <v>213571.0</v>
      </c>
      <c r="AD99" s="269"/>
      <c r="AE99" s="269"/>
      <c r="AF99" s="281"/>
      <c r="AG99" s="289" t="s">
        <v>114</v>
      </c>
      <c r="AH99" s="287"/>
      <c r="AI99" s="287"/>
      <c r="AJ99" s="287"/>
      <c r="AK99" s="287"/>
      <c r="AL99" s="287"/>
      <c r="AM99" s="287"/>
      <c r="AN99" s="287"/>
      <c r="AO99" s="287"/>
      <c r="AP99" s="287"/>
      <c r="AQ99" s="288"/>
      <c r="AR99" s="252"/>
      <c r="AS99" s="252"/>
      <c r="AT99" s="252"/>
      <c r="AU99" s="252"/>
      <c r="AV99" s="252"/>
      <c r="AW99" s="252"/>
      <c r="AX99" s="252"/>
      <c r="AY99" s="252"/>
      <c r="AZ99" s="252"/>
      <c r="BA99" s="252"/>
      <c r="BB99" s="252"/>
      <c r="BC99" s="252"/>
      <c r="BD99" s="252"/>
      <c r="BE99" s="252"/>
      <c r="BF99" s="252"/>
      <c r="BG99" s="252"/>
      <c r="BH99" s="252"/>
      <c r="BI99" s="252"/>
      <c r="BJ99" s="252"/>
      <c r="BK99" s="252"/>
      <c r="BL99" s="252"/>
    </row>
    <row r="100" ht="18.75" hidden="1" customHeight="1">
      <c r="A100" s="2"/>
      <c r="B100" s="268" t="str">
        <f t="shared" ref="B100:B105" si="17">$AQ$3 &amp; " - " &amp; AQ5</f>
        <v>Cerberus - Primordial Crystal</v>
      </c>
      <c r="C100" s="269"/>
      <c r="D100" s="269"/>
      <c r="E100" s="269"/>
      <c r="F100" s="269"/>
      <c r="G100" s="270"/>
      <c r="H100" s="271" t="s">
        <v>603</v>
      </c>
      <c r="I100" s="269"/>
      <c r="J100" s="270"/>
      <c r="K100" s="272">
        <f t="shared" si="4"/>
        <v>20</v>
      </c>
      <c r="L100" s="271">
        <f t="shared" ref="L100:L105" si="18">$AZ$3</f>
        <v>6</v>
      </c>
      <c r="M100" s="269"/>
      <c r="N100" s="270"/>
      <c r="O100" s="273">
        <f t="shared" ref="O100:O105" si="19">AY5</f>
        <v>1</v>
      </c>
      <c r="P100" s="269"/>
      <c r="Q100" s="270"/>
      <c r="R100" s="274">
        <f t="shared" si="7"/>
        <v>3.333333333</v>
      </c>
      <c r="S100" s="269"/>
      <c r="T100" s="275"/>
      <c r="U100" s="276"/>
      <c r="V100" s="252"/>
      <c r="W100" s="285" t="s">
        <v>604</v>
      </c>
      <c r="X100" s="269"/>
      <c r="Y100" s="269"/>
      <c r="Z100" s="269"/>
      <c r="AA100" s="269"/>
      <c r="AB100" s="281"/>
      <c r="AC100" s="280">
        <v>1870853.0</v>
      </c>
      <c r="AD100" s="269"/>
      <c r="AE100" s="269"/>
      <c r="AF100" s="281"/>
      <c r="AG100" s="289" t="s">
        <v>605</v>
      </c>
      <c r="AH100" s="287"/>
      <c r="AI100" s="287"/>
      <c r="AJ100" s="287"/>
      <c r="AK100" s="287"/>
      <c r="AL100" s="287"/>
      <c r="AM100" s="287"/>
      <c r="AN100" s="287"/>
      <c r="AO100" s="287"/>
      <c r="AP100" s="287"/>
      <c r="AQ100" s="288"/>
      <c r="AR100" s="252"/>
      <c r="AS100" s="252"/>
      <c r="AT100" s="252"/>
      <c r="AU100" s="252"/>
      <c r="AV100" s="252"/>
      <c r="AW100" s="252"/>
      <c r="AX100" s="252"/>
      <c r="AY100" s="252"/>
      <c r="AZ100" s="252"/>
      <c r="BA100" s="252"/>
      <c r="BB100" s="252"/>
      <c r="BC100" s="252"/>
      <c r="BD100" s="252"/>
      <c r="BE100" s="252"/>
      <c r="BF100" s="252"/>
      <c r="BG100" s="252"/>
      <c r="BH100" s="252"/>
      <c r="BI100" s="252"/>
      <c r="BJ100" s="252"/>
      <c r="BK100" s="252"/>
      <c r="BL100" s="252"/>
    </row>
    <row r="101" ht="18.75" hidden="1" customHeight="1">
      <c r="A101" s="2"/>
      <c r="B101" s="268" t="str">
        <f t="shared" si="17"/>
        <v>Cerberus - Pegasian Crystal</v>
      </c>
      <c r="C101" s="269"/>
      <c r="D101" s="269"/>
      <c r="E101" s="269"/>
      <c r="F101" s="269"/>
      <c r="G101" s="270"/>
      <c r="H101" s="271" t="s">
        <v>603</v>
      </c>
      <c r="I101" s="269"/>
      <c r="J101" s="270"/>
      <c r="K101" s="272">
        <f t="shared" si="4"/>
        <v>20</v>
      </c>
      <c r="L101" s="271">
        <f t="shared" si="18"/>
        <v>6</v>
      </c>
      <c r="M101" s="269"/>
      <c r="N101" s="270"/>
      <c r="O101" s="273">
        <f t="shared" si="19"/>
        <v>1</v>
      </c>
      <c r="P101" s="269"/>
      <c r="Q101" s="270"/>
      <c r="R101" s="274">
        <f t="shared" si="7"/>
        <v>3.333333333</v>
      </c>
      <c r="S101" s="269"/>
      <c r="T101" s="275"/>
      <c r="U101" s="276"/>
      <c r="V101" s="252"/>
      <c r="W101" s="285" t="s">
        <v>606</v>
      </c>
      <c r="X101" s="269"/>
      <c r="Y101" s="269"/>
      <c r="Z101" s="269"/>
      <c r="AA101" s="269"/>
      <c r="AB101" s="281"/>
      <c r="AC101" s="280">
        <v>1480763.0</v>
      </c>
      <c r="AD101" s="269"/>
      <c r="AE101" s="269"/>
      <c r="AF101" s="281"/>
      <c r="AG101" s="289" t="s">
        <v>607</v>
      </c>
      <c r="AH101" s="287"/>
      <c r="AI101" s="287"/>
      <c r="AJ101" s="287"/>
      <c r="AK101" s="287"/>
      <c r="AL101" s="287"/>
      <c r="AM101" s="287"/>
      <c r="AN101" s="287"/>
      <c r="AO101" s="287"/>
      <c r="AP101" s="287"/>
      <c r="AQ101" s="288"/>
      <c r="AR101" s="252"/>
      <c r="AS101" s="252"/>
      <c r="AT101" s="252"/>
      <c r="AU101" s="252"/>
      <c r="AV101" s="252"/>
      <c r="AW101" s="252"/>
      <c r="AX101" s="252"/>
      <c r="AY101" s="252"/>
      <c r="AZ101" s="252"/>
      <c r="BA101" s="252"/>
      <c r="BB101" s="252"/>
      <c r="BC101" s="252"/>
      <c r="BD101" s="252"/>
      <c r="BE101" s="252"/>
      <c r="BF101" s="252"/>
      <c r="BG101" s="252"/>
      <c r="BH101" s="252"/>
      <c r="BI101" s="252"/>
      <c r="BJ101" s="252"/>
      <c r="BK101" s="252"/>
      <c r="BL101" s="252"/>
    </row>
    <row r="102" ht="18.75" hidden="1" customHeight="1">
      <c r="A102" s="2"/>
      <c r="B102" s="268" t="str">
        <f t="shared" si="17"/>
        <v>Cerberus - Eternal Crystal</v>
      </c>
      <c r="C102" s="269"/>
      <c r="D102" s="269"/>
      <c r="E102" s="269"/>
      <c r="F102" s="269"/>
      <c r="G102" s="270"/>
      <c r="H102" s="271" t="s">
        <v>603</v>
      </c>
      <c r="I102" s="269"/>
      <c r="J102" s="270"/>
      <c r="K102" s="272">
        <f t="shared" si="4"/>
        <v>20</v>
      </c>
      <c r="L102" s="271">
        <f t="shared" si="18"/>
        <v>6</v>
      </c>
      <c r="M102" s="269"/>
      <c r="N102" s="270"/>
      <c r="O102" s="273">
        <f t="shared" si="19"/>
        <v>1</v>
      </c>
      <c r="P102" s="269"/>
      <c r="Q102" s="270"/>
      <c r="R102" s="274">
        <f t="shared" si="7"/>
        <v>3.333333333</v>
      </c>
      <c r="S102" s="269"/>
      <c r="T102" s="275"/>
      <c r="U102" s="276"/>
      <c r="V102" s="252"/>
      <c r="W102" s="285" t="s">
        <v>608</v>
      </c>
      <c r="X102" s="269"/>
      <c r="Y102" s="269"/>
      <c r="Z102" s="269"/>
      <c r="AA102" s="269"/>
      <c r="AB102" s="281"/>
      <c r="AC102" s="280">
        <v>1477126.0</v>
      </c>
      <c r="AD102" s="269"/>
      <c r="AE102" s="269"/>
      <c r="AF102" s="281"/>
      <c r="AG102" s="289" t="s">
        <v>609</v>
      </c>
      <c r="AH102" s="287"/>
      <c r="AI102" s="287"/>
      <c r="AJ102" s="287"/>
      <c r="AK102" s="287"/>
      <c r="AL102" s="287"/>
      <c r="AM102" s="287"/>
      <c r="AN102" s="287"/>
      <c r="AO102" s="287"/>
      <c r="AP102" s="287"/>
      <c r="AQ102" s="288"/>
      <c r="AR102" s="252"/>
      <c r="AS102" s="252"/>
      <c r="AT102" s="252"/>
      <c r="AU102" s="252"/>
      <c r="AV102" s="252"/>
      <c r="AW102" s="252"/>
      <c r="AX102" s="252"/>
      <c r="AY102" s="252"/>
      <c r="AZ102" s="252"/>
      <c r="BA102" s="252"/>
      <c r="BB102" s="252"/>
      <c r="BC102" s="252"/>
      <c r="BD102" s="252"/>
      <c r="BE102" s="252"/>
      <c r="BF102" s="252"/>
      <c r="BG102" s="252"/>
      <c r="BH102" s="252"/>
      <c r="BI102" s="252"/>
      <c r="BJ102" s="252"/>
      <c r="BK102" s="252"/>
      <c r="BL102" s="252"/>
    </row>
    <row r="103" ht="18.75" hidden="1" customHeight="1">
      <c r="A103" s="2"/>
      <c r="B103" s="268" t="str">
        <f t="shared" si="17"/>
        <v>Cerberus - Smouldering Stone</v>
      </c>
      <c r="C103" s="269"/>
      <c r="D103" s="269"/>
      <c r="E103" s="269"/>
      <c r="F103" s="269"/>
      <c r="G103" s="270"/>
      <c r="H103" s="271" t="s">
        <v>603</v>
      </c>
      <c r="I103" s="269"/>
      <c r="J103" s="270"/>
      <c r="K103" s="272">
        <f t="shared" si="4"/>
        <v>20</v>
      </c>
      <c r="L103" s="271">
        <f t="shared" si="18"/>
        <v>6</v>
      </c>
      <c r="M103" s="269"/>
      <c r="N103" s="270"/>
      <c r="O103" s="273">
        <f t="shared" si="19"/>
        <v>1</v>
      </c>
      <c r="P103" s="269"/>
      <c r="Q103" s="270"/>
      <c r="R103" s="274">
        <f t="shared" si="7"/>
        <v>3.333333333</v>
      </c>
      <c r="S103" s="269"/>
      <c r="T103" s="275"/>
      <c r="U103" s="276"/>
      <c r="V103" s="252"/>
      <c r="W103" s="285" t="s">
        <v>610</v>
      </c>
      <c r="X103" s="269"/>
      <c r="Y103" s="269"/>
      <c r="Z103" s="269"/>
      <c r="AA103" s="269"/>
      <c r="AB103" s="281"/>
      <c r="AC103" s="280">
        <v>994826.0</v>
      </c>
      <c r="AD103" s="269"/>
      <c r="AE103" s="269"/>
      <c r="AF103" s="281"/>
      <c r="AG103" s="289" t="s">
        <v>611</v>
      </c>
      <c r="AH103" s="287"/>
      <c r="AI103" s="287"/>
      <c r="AJ103" s="287"/>
      <c r="AK103" s="287"/>
      <c r="AL103" s="287"/>
      <c r="AM103" s="287"/>
      <c r="AN103" s="287"/>
      <c r="AO103" s="287"/>
      <c r="AP103" s="287"/>
      <c r="AQ103" s="288"/>
      <c r="AR103" s="252"/>
      <c r="AS103" s="252"/>
      <c r="AT103" s="252"/>
      <c r="AU103" s="252"/>
      <c r="AV103" s="252"/>
      <c r="AW103" s="252"/>
      <c r="AX103" s="252"/>
      <c r="AY103" s="252"/>
      <c r="AZ103" s="252"/>
      <c r="BA103" s="252"/>
      <c r="BB103" s="252"/>
      <c r="BC103" s="252"/>
      <c r="BD103" s="252"/>
      <c r="BE103" s="252"/>
      <c r="BF103" s="252"/>
      <c r="BG103" s="252"/>
      <c r="BH103" s="252"/>
      <c r="BI103" s="252"/>
      <c r="BJ103" s="252"/>
      <c r="BK103" s="252"/>
      <c r="BL103" s="252"/>
    </row>
    <row r="104" ht="18.75" hidden="1" customHeight="1">
      <c r="A104" s="2"/>
      <c r="B104" s="268" t="str">
        <f t="shared" si="17"/>
        <v>Cerberus - Jar of Souls</v>
      </c>
      <c r="C104" s="269"/>
      <c r="D104" s="269"/>
      <c r="E104" s="269"/>
      <c r="F104" s="269"/>
      <c r="G104" s="270"/>
      <c r="H104" s="271" t="s">
        <v>603</v>
      </c>
      <c r="I104" s="269"/>
      <c r="J104" s="270"/>
      <c r="K104" s="272">
        <f t="shared" si="4"/>
        <v>20</v>
      </c>
      <c r="L104" s="271">
        <f t="shared" si="18"/>
        <v>6</v>
      </c>
      <c r="M104" s="269"/>
      <c r="N104" s="270"/>
      <c r="O104" s="273">
        <f t="shared" si="19"/>
        <v>2</v>
      </c>
      <c r="P104" s="269"/>
      <c r="Q104" s="270"/>
      <c r="R104" s="274">
        <f t="shared" si="7"/>
        <v>6.666666667</v>
      </c>
      <c r="S104" s="269"/>
      <c r="T104" s="275"/>
      <c r="U104" s="276"/>
      <c r="V104" s="252"/>
      <c r="W104" s="285" t="s">
        <v>612</v>
      </c>
      <c r="X104" s="269"/>
      <c r="Y104" s="269"/>
      <c r="Z104" s="269"/>
      <c r="AA104" s="269"/>
      <c r="AB104" s="281"/>
      <c r="AC104" s="280">
        <v>912243.0</v>
      </c>
      <c r="AD104" s="269"/>
      <c r="AE104" s="269"/>
      <c r="AF104" s="281"/>
      <c r="AG104" s="289" t="s">
        <v>613</v>
      </c>
      <c r="AH104" s="287"/>
      <c r="AI104" s="287"/>
      <c r="AJ104" s="287"/>
      <c r="AK104" s="287"/>
      <c r="AL104" s="287"/>
      <c r="AM104" s="287"/>
      <c r="AN104" s="287"/>
      <c r="AO104" s="287"/>
      <c r="AP104" s="287"/>
      <c r="AQ104" s="288"/>
      <c r="AR104" s="252"/>
      <c r="AS104" s="252"/>
      <c r="AT104" s="252"/>
      <c r="AU104" s="252"/>
      <c r="AV104" s="252"/>
      <c r="AW104" s="252"/>
      <c r="AX104" s="252"/>
      <c r="AY104" s="252"/>
      <c r="AZ104" s="252"/>
      <c r="BA104" s="252"/>
      <c r="BB104" s="252"/>
      <c r="BC104" s="252"/>
      <c r="BD104" s="252"/>
      <c r="BE104" s="252"/>
      <c r="BF104" s="252"/>
      <c r="BG104" s="252"/>
      <c r="BH104" s="252"/>
      <c r="BI104" s="252"/>
      <c r="BJ104" s="252"/>
      <c r="BK104" s="252"/>
      <c r="BL104" s="252"/>
    </row>
    <row r="105" ht="18.75" hidden="1" customHeight="1">
      <c r="A105" s="2"/>
      <c r="B105" s="268" t="str">
        <f t="shared" si="17"/>
        <v>Cerberus - Hellpuppy</v>
      </c>
      <c r="C105" s="269"/>
      <c r="D105" s="269"/>
      <c r="E105" s="269"/>
      <c r="F105" s="269"/>
      <c r="G105" s="270"/>
      <c r="H105" s="271" t="s">
        <v>603</v>
      </c>
      <c r="I105" s="269"/>
      <c r="J105" s="270"/>
      <c r="K105" s="272">
        <f t="shared" si="4"/>
        <v>20</v>
      </c>
      <c r="L105" s="271">
        <f t="shared" si="18"/>
        <v>6</v>
      </c>
      <c r="M105" s="269"/>
      <c r="N105" s="270"/>
      <c r="O105" s="273">
        <f t="shared" si="19"/>
        <v>2</v>
      </c>
      <c r="P105" s="269"/>
      <c r="Q105" s="270"/>
      <c r="R105" s="274">
        <f t="shared" si="7"/>
        <v>6.666666667</v>
      </c>
      <c r="S105" s="269"/>
      <c r="T105" s="275"/>
      <c r="U105" s="276"/>
      <c r="V105" s="252"/>
      <c r="W105" s="285" t="s">
        <v>614</v>
      </c>
      <c r="X105" s="269"/>
      <c r="Y105" s="269"/>
      <c r="Z105" s="269"/>
      <c r="AA105" s="269"/>
      <c r="AB105" s="281"/>
      <c r="AC105" s="280">
        <v>894244.0</v>
      </c>
      <c r="AD105" s="269"/>
      <c r="AE105" s="269"/>
      <c r="AF105" s="281"/>
      <c r="AG105" s="289" t="s">
        <v>615</v>
      </c>
      <c r="AH105" s="287"/>
      <c r="AI105" s="287"/>
      <c r="AJ105" s="287"/>
      <c r="AK105" s="287"/>
      <c r="AL105" s="287"/>
      <c r="AM105" s="287"/>
      <c r="AN105" s="287"/>
      <c r="AO105" s="287"/>
      <c r="AP105" s="287"/>
      <c r="AQ105" s="288"/>
      <c r="AR105" s="252"/>
      <c r="AS105" s="252"/>
      <c r="AT105" s="252"/>
      <c r="AU105" s="252"/>
      <c r="AV105" s="252"/>
      <c r="AW105" s="252"/>
      <c r="AX105" s="252"/>
      <c r="AY105" s="252"/>
      <c r="AZ105" s="252"/>
      <c r="BA105" s="252"/>
      <c r="BB105" s="252"/>
      <c r="BC105" s="252"/>
      <c r="BD105" s="252"/>
      <c r="BE105" s="252"/>
      <c r="BF105" s="252"/>
      <c r="BG105" s="252"/>
      <c r="BH105" s="252"/>
      <c r="BI105" s="252"/>
      <c r="BJ105" s="252"/>
      <c r="BK105" s="252"/>
      <c r="BL105" s="252"/>
    </row>
    <row r="106" ht="18.75" hidden="1" customHeight="1">
      <c r="A106" s="2"/>
      <c r="B106" s="268" t="str">
        <f t="shared" ref="B106:B118" si="20">$BA$3 &amp; " - " &amp; BA5</f>
        <v>Chambers of Xeric - Dexterous Prayer Scroll</v>
      </c>
      <c r="C106" s="269"/>
      <c r="D106" s="269"/>
      <c r="E106" s="269"/>
      <c r="F106" s="269"/>
      <c r="G106" s="270"/>
      <c r="H106" s="271" t="s">
        <v>603</v>
      </c>
      <c r="I106" s="269"/>
      <c r="J106" s="270"/>
      <c r="K106" s="272">
        <f t="shared" si="4"/>
        <v>20</v>
      </c>
      <c r="L106" s="271">
        <f t="shared" ref="L106:L118" si="21">$BJ$3</f>
        <v>4</v>
      </c>
      <c r="M106" s="269"/>
      <c r="N106" s="270"/>
      <c r="O106" s="273">
        <f t="shared" ref="O106:O118" si="22">BI5</f>
        <v>1</v>
      </c>
      <c r="P106" s="269"/>
      <c r="Q106" s="270"/>
      <c r="R106" s="274">
        <f t="shared" si="7"/>
        <v>5</v>
      </c>
      <c r="S106" s="269"/>
      <c r="T106" s="275"/>
      <c r="U106" s="276"/>
      <c r="V106" s="252"/>
      <c r="W106" s="285" t="s">
        <v>616</v>
      </c>
      <c r="X106" s="269"/>
      <c r="Y106" s="269"/>
      <c r="Z106" s="269"/>
      <c r="AA106" s="269"/>
      <c r="AB106" s="281"/>
      <c r="AC106" s="280">
        <v>421489.0</v>
      </c>
      <c r="AD106" s="269"/>
      <c r="AE106" s="269"/>
      <c r="AF106" s="281"/>
      <c r="AG106" s="289" t="s">
        <v>617</v>
      </c>
      <c r="AH106" s="287"/>
      <c r="AI106" s="287"/>
      <c r="AJ106" s="287"/>
      <c r="AK106" s="287"/>
      <c r="AL106" s="287"/>
      <c r="AM106" s="287"/>
      <c r="AN106" s="287"/>
      <c r="AO106" s="287"/>
      <c r="AP106" s="287"/>
      <c r="AQ106" s="288"/>
      <c r="AR106" s="252"/>
      <c r="AS106" s="252"/>
      <c r="AT106" s="252"/>
      <c r="AU106" s="252"/>
      <c r="AV106" s="252"/>
      <c r="AW106" s="252"/>
      <c r="AX106" s="252"/>
      <c r="AY106" s="252"/>
      <c r="AZ106" s="252"/>
      <c r="BA106" s="252"/>
      <c r="BB106" s="252"/>
      <c r="BC106" s="252"/>
      <c r="BD106" s="252"/>
      <c r="BE106" s="252"/>
      <c r="BF106" s="252"/>
      <c r="BG106" s="252"/>
      <c r="BH106" s="252"/>
      <c r="BI106" s="252"/>
      <c r="BJ106" s="252"/>
      <c r="BK106" s="252"/>
      <c r="BL106" s="252"/>
    </row>
    <row r="107" ht="18.75" hidden="1" customHeight="1">
      <c r="A107" s="2"/>
      <c r="B107" s="268" t="str">
        <f t="shared" si="20"/>
        <v>Chambers of Xeric - Arcane Prayer Scroll</v>
      </c>
      <c r="C107" s="269"/>
      <c r="D107" s="269"/>
      <c r="E107" s="269"/>
      <c r="F107" s="269"/>
      <c r="G107" s="270"/>
      <c r="H107" s="271" t="s">
        <v>603</v>
      </c>
      <c r="I107" s="269"/>
      <c r="J107" s="270"/>
      <c r="K107" s="272">
        <f t="shared" si="4"/>
        <v>20</v>
      </c>
      <c r="L107" s="271">
        <f t="shared" si="21"/>
        <v>4</v>
      </c>
      <c r="M107" s="269"/>
      <c r="N107" s="270"/>
      <c r="O107" s="273">
        <f t="shared" si="22"/>
        <v>1</v>
      </c>
      <c r="P107" s="269"/>
      <c r="Q107" s="270"/>
      <c r="R107" s="274">
        <f t="shared" si="7"/>
        <v>5</v>
      </c>
      <c r="S107" s="269"/>
      <c r="T107" s="275"/>
      <c r="U107" s="276"/>
      <c r="V107" s="252"/>
      <c r="W107" s="285" t="s">
        <v>618</v>
      </c>
      <c r="X107" s="269"/>
      <c r="Y107" s="269"/>
      <c r="Z107" s="269"/>
      <c r="AA107" s="269"/>
      <c r="AB107" s="281"/>
      <c r="AC107" s="280">
        <v>410890.0</v>
      </c>
      <c r="AD107" s="269"/>
      <c r="AE107" s="269"/>
      <c r="AF107" s="281"/>
      <c r="AG107" s="289" t="s">
        <v>619</v>
      </c>
      <c r="AH107" s="287"/>
      <c r="AI107" s="287"/>
      <c r="AJ107" s="287"/>
      <c r="AK107" s="287"/>
      <c r="AL107" s="287"/>
      <c r="AM107" s="287"/>
      <c r="AN107" s="287"/>
      <c r="AO107" s="287"/>
      <c r="AP107" s="287"/>
      <c r="AQ107" s="288"/>
      <c r="AR107" s="252"/>
      <c r="AS107" s="252"/>
      <c r="AT107" s="252"/>
      <c r="AU107" s="252"/>
      <c r="AV107" s="252"/>
      <c r="AW107" s="252"/>
      <c r="AX107" s="252"/>
      <c r="AY107" s="252"/>
      <c r="AZ107" s="252"/>
      <c r="BA107" s="252"/>
      <c r="BB107" s="252"/>
      <c r="BC107" s="252"/>
      <c r="BD107" s="252"/>
      <c r="BE107" s="252"/>
      <c r="BF107" s="252"/>
      <c r="BG107" s="252"/>
      <c r="BH107" s="252"/>
      <c r="BI107" s="252"/>
      <c r="BJ107" s="252"/>
      <c r="BK107" s="252"/>
      <c r="BL107" s="252"/>
    </row>
    <row r="108" ht="18.75" hidden="1" customHeight="1">
      <c r="A108" s="2"/>
      <c r="B108" s="268" t="str">
        <f t="shared" si="20"/>
        <v>Chambers of Xeric - Twisted Buckler</v>
      </c>
      <c r="C108" s="269"/>
      <c r="D108" s="269"/>
      <c r="E108" s="269"/>
      <c r="F108" s="269"/>
      <c r="G108" s="270"/>
      <c r="H108" s="271" t="s">
        <v>603</v>
      </c>
      <c r="I108" s="269"/>
      <c r="J108" s="270"/>
      <c r="K108" s="272">
        <f t="shared" si="4"/>
        <v>20</v>
      </c>
      <c r="L108" s="271">
        <f t="shared" si="21"/>
        <v>4</v>
      </c>
      <c r="M108" s="269"/>
      <c r="N108" s="270"/>
      <c r="O108" s="273">
        <f t="shared" si="22"/>
        <v>2</v>
      </c>
      <c r="P108" s="269"/>
      <c r="Q108" s="270"/>
      <c r="R108" s="274">
        <f t="shared" si="7"/>
        <v>10</v>
      </c>
      <c r="S108" s="269"/>
      <c r="T108" s="275"/>
      <c r="U108" s="276"/>
      <c r="V108" s="252"/>
      <c r="W108" s="285" t="s">
        <v>620</v>
      </c>
      <c r="X108" s="269"/>
      <c r="Y108" s="269"/>
      <c r="Z108" s="269"/>
      <c r="AA108" s="269"/>
      <c r="AB108" s="281"/>
      <c r="AC108" s="280">
        <v>358284.0</v>
      </c>
      <c r="AD108" s="269"/>
      <c r="AE108" s="269"/>
      <c r="AF108" s="281"/>
      <c r="AG108" s="289" t="s">
        <v>621</v>
      </c>
      <c r="AH108" s="287"/>
      <c r="AI108" s="287"/>
      <c r="AJ108" s="287"/>
      <c r="AK108" s="287"/>
      <c r="AL108" s="287"/>
      <c r="AM108" s="287"/>
      <c r="AN108" s="287"/>
      <c r="AO108" s="287"/>
      <c r="AP108" s="287"/>
      <c r="AQ108" s="288"/>
      <c r="AR108" s="252"/>
      <c r="AS108" s="252"/>
      <c r="AT108" s="252"/>
      <c r="AU108" s="252"/>
      <c r="AV108" s="252"/>
      <c r="AW108" s="252"/>
      <c r="AX108" s="252"/>
      <c r="AY108" s="252"/>
      <c r="AZ108" s="252"/>
      <c r="BA108" s="252"/>
      <c r="BB108" s="252"/>
      <c r="BC108" s="252"/>
      <c r="BD108" s="252"/>
      <c r="BE108" s="252"/>
      <c r="BF108" s="252"/>
      <c r="BG108" s="252"/>
      <c r="BH108" s="252"/>
      <c r="BI108" s="252"/>
      <c r="BJ108" s="252"/>
      <c r="BK108" s="252"/>
      <c r="BL108" s="252"/>
    </row>
    <row r="109" ht="18.75" hidden="1" customHeight="1">
      <c r="A109" s="2"/>
      <c r="B109" s="268" t="str">
        <f t="shared" si="20"/>
        <v>Chambers of Xeric - Dragon Hunter Crossbow</v>
      </c>
      <c r="C109" s="269"/>
      <c r="D109" s="269"/>
      <c r="E109" s="269"/>
      <c r="F109" s="269"/>
      <c r="G109" s="270"/>
      <c r="H109" s="271" t="s">
        <v>603</v>
      </c>
      <c r="I109" s="269"/>
      <c r="J109" s="270"/>
      <c r="K109" s="272">
        <f t="shared" si="4"/>
        <v>20</v>
      </c>
      <c r="L109" s="271">
        <f t="shared" si="21"/>
        <v>4</v>
      </c>
      <c r="M109" s="269"/>
      <c r="N109" s="270"/>
      <c r="O109" s="273">
        <f t="shared" si="22"/>
        <v>2</v>
      </c>
      <c r="P109" s="269"/>
      <c r="Q109" s="270"/>
      <c r="R109" s="274">
        <f t="shared" si="7"/>
        <v>10</v>
      </c>
      <c r="S109" s="269"/>
      <c r="T109" s="275"/>
      <c r="U109" s="276"/>
      <c r="V109" s="252"/>
      <c r="W109" s="285" t="s">
        <v>622</v>
      </c>
      <c r="X109" s="269"/>
      <c r="Y109" s="269"/>
      <c r="Z109" s="269"/>
      <c r="AA109" s="269"/>
      <c r="AB109" s="281"/>
      <c r="AC109" s="280">
        <v>341214.0</v>
      </c>
      <c r="AD109" s="269"/>
      <c r="AE109" s="269"/>
      <c r="AF109" s="281"/>
      <c r="AG109" s="289" t="s">
        <v>623</v>
      </c>
      <c r="AH109" s="287"/>
      <c r="AI109" s="287"/>
      <c r="AJ109" s="287"/>
      <c r="AK109" s="287"/>
      <c r="AL109" s="287"/>
      <c r="AM109" s="287"/>
      <c r="AN109" s="287"/>
      <c r="AO109" s="287"/>
      <c r="AP109" s="287"/>
      <c r="AQ109" s="288"/>
      <c r="AR109" s="252"/>
      <c r="AS109" s="252"/>
      <c r="AT109" s="252"/>
      <c r="AU109" s="252"/>
      <c r="AV109" s="252"/>
      <c r="AW109" s="252"/>
      <c r="AX109" s="252"/>
      <c r="AY109" s="252"/>
      <c r="AZ109" s="252"/>
      <c r="BA109" s="252"/>
      <c r="BB109" s="252"/>
      <c r="BC109" s="252"/>
      <c r="BD109" s="252"/>
      <c r="BE109" s="252"/>
      <c r="BF109" s="252"/>
      <c r="BG109" s="252"/>
      <c r="BH109" s="252"/>
      <c r="BI109" s="252"/>
      <c r="BJ109" s="252"/>
      <c r="BK109" s="252"/>
      <c r="BL109" s="252"/>
    </row>
    <row r="110" ht="18.75" hidden="1" customHeight="1">
      <c r="A110" s="2"/>
      <c r="B110" s="268" t="str">
        <f t="shared" si="20"/>
        <v>Chambers of Xeric - Ancestral Piece (any)</v>
      </c>
      <c r="C110" s="269"/>
      <c r="D110" s="269"/>
      <c r="E110" s="269"/>
      <c r="F110" s="269"/>
      <c r="G110" s="270"/>
      <c r="H110" s="271" t="s">
        <v>603</v>
      </c>
      <c r="I110" s="269"/>
      <c r="J110" s="270"/>
      <c r="K110" s="272">
        <f t="shared" si="4"/>
        <v>20</v>
      </c>
      <c r="L110" s="271">
        <f t="shared" si="21"/>
        <v>4</v>
      </c>
      <c r="M110" s="269"/>
      <c r="N110" s="270"/>
      <c r="O110" s="273">
        <f t="shared" si="22"/>
        <v>2</v>
      </c>
      <c r="P110" s="269"/>
      <c r="Q110" s="270"/>
      <c r="R110" s="274">
        <f t="shared" si="7"/>
        <v>10</v>
      </c>
      <c r="S110" s="269"/>
      <c r="T110" s="275"/>
      <c r="U110" s="276"/>
      <c r="V110" s="252"/>
      <c r="W110" s="285" t="s">
        <v>624</v>
      </c>
      <c r="X110" s="269"/>
      <c r="Y110" s="269"/>
      <c r="Z110" s="269"/>
      <c r="AA110" s="269"/>
      <c r="AB110" s="281"/>
      <c r="AC110" s="280">
        <v>340204.0</v>
      </c>
      <c r="AD110" s="269"/>
      <c r="AE110" s="269"/>
      <c r="AF110" s="281"/>
      <c r="AG110" s="289" t="s">
        <v>625</v>
      </c>
      <c r="AH110" s="287"/>
      <c r="AI110" s="287"/>
      <c r="AJ110" s="287"/>
      <c r="AK110" s="287"/>
      <c r="AL110" s="287"/>
      <c r="AM110" s="287"/>
      <c r="AN110" s="287"/>
      <c r="AO110" s="287"/>
      <c r="AP110" s="287"/>
      <c r="AQ110" s="288"/>
      <c r="AR110" s="252"/>
      <c r="AS110" s="252"/>
      <c r="AT110" s="252"/>
      <c r="AU110" s="252"/>
      <c r="AV110" s="252"/>
      <c r="AW110" s="252"/>
      <c r="AX110" s="252"/>
      <c r="AY110" s="252"/>
      <c r="AZ110" s="252"/>
      <c r="BA110" s="252"/>
      <c r="BB110" s="252"/>
      <c r="BC110" s="252"/>
      <c r="BD110" s="252"/>
      <c r="BE110" s="252"/>
      <c r="BF110" s="252"/>
      <c r="BG110" s="252"/>
      <c r="BH110" s="252"/>
      <c r="BI110" s="252"/>
      <c r="BJ110" s="252"/>
      <c r="BK110" s="252"/>
      <c r="BL110" s="252"/>
    </row>
    <row r="111" ht="18.75" hidden="1" customHeight="1">
      <c r="A111" s="2"/>
      <c r="B111" s="268" t="str">
        <f t="shared" si="20"/>
        <v>Chambers of Xeric - Dinh's Bulwark</v>
      </c>
      <c r="C111" s="269"/>
      <c r="D111" s="269"/>
      <c r="E111" s="269"/>
      <c r="F111" s="269"/>
      <c r="G111" s="270"/>
      <c r="H111" s="271" t="s">
        <v>603</v>
      </c>
      <c r="I111" s="269"/>
      <c r="J111" s="270"/>
      <c r="K111" s="272">
        <f t="shared" si="4"/>
        <v>20</v>
      </c>
      <c r="L111" s="271">
        <f t="shared" si="21"/>
        <v>4</v>
      </c>
      <c r="M111" s="269"/>
      <c r="N111" s="270"/>
      <c r="O111" s="273">
        <f t="shared" si="22"/>
        <v>2</v>
      </c>
      <c r="P111" s="269"/>
      <c r="Q111" s="270"/>
      <c r="R111" s="274">
        <f t="shared" si="7"/>
        <v>10</v>
      </c>
      <c r="S111" s="269"/>
      <c r="T111" s="275"/>
      <c r="U111" s="276"/>
      <c r="V111" s="252"/>
      <c r="W111" s="285" t="s">
        <v>626</v>
      </c>
      <c r="X111" s="269"/>
      <c r="Y111" s="269"/>
      <c r="Z111" s="269"/>
      <c r="AA111" s="269"/>
      <c r="AB111" s="281"/>
      <c r="AC111" s="280">
        <v>324848.0</v>
      </c>
      <c r="AD111" s="269"/>
      <c r="AE111" s="269"/>
      <c r="AF111" s="281"/>
      <c r="AG111" s="289" t="s">
        <v>627</v>
      </c>
      <c r="AH111" s="287"/>
      <c r="AI111" s="287"/>
      <c r="AJ111" s="287"/>
      <c r="AK111" s="287"/>
      <c r="AL111" s="287"/>
      <c r="AM111" s="287"/>
      <c r="AN111" s="287"/>
      <c r="AO111" s="287"/>
      <c r="AP111" s="287"/>
      <c r="AQ111" s="288"/>
      <c r="AR111" s="252"/>
      <c r="AS111" s="252"/>
      <c r="AT111" s="252"/>
      <c r="AU111" s="252"/>
      <c r="AV111" s="252"/>
      <c r="AW111" s="252"/>
      <c r="AX111" s="252"/>
      <c r="AY111" s="252"/>
      <c r="AZ111" s="252"/>
      <c r="BA111" s="252"/>
      <c r="BB111" s="252"/>
      <c r="BC111" s="252"/>
      <c r="BD111" s="252"/>
      <c r="BE111" s="252"/>
      <c r="BF111" s="252"/>
      <c r="BG111" s="252"/>
      <c r="BH111" s="252"/>
      <c r="BI111" s="252"/>
      <c r="BJ111" s="252"/>
      <c r="BK111" s="252"/>
      <c r="BL111" s="252"/>
    </row>
    <row r="112" ht="18.75" hidden="1" customHeight="1">
      <c r="A112" s="2"/>
      <c r="B112" s="268" t="str">
        <f t="shared" si="20"/>
        <v>Chambers of Xeric - Dragon Claws</v>
      </c>
      <c r="C112" s="269"/>
      <c r="D112" s="269"/>
      <c r="E112" s="269"/>
      <c r="F112" s="269"/>
      <c r="G112" s="270"/>
      <c r="H112" s="271" t="s">
        <v>603</v>
      </c>
      <c r="I112" s="269"/>
      <c r="J112" s="270"/>
      <c r="K112" s="272">
        <f t="shared" si="4"/>
        <v>20</v>
      </c>
      <c r="L112" s="271">
        <f t="shared" si="21"/>
        <v>4</v>
      </c>
      <c r="M112" s="269"/>
      <c r="N112" s="270"/>
      <c r="O112" s="273">
        <f t="shared" si="22"/>
        <v>2</v>
      </c>
      <c r="P112" s="269"/>
      <c r="Q112" s="270"/>
      <c r="R112" s="274">
        <f t="shared" si="7"/>
        <v>10</v>
      </c>
      <c r="S112" s="269"/>
      <c r="T112" s="275"/>
      <c r="U112" s="276"/>
      <c r="V112" s="252"/>
      <c r="W112" s="285" t="s">
        <v>628</v>
      </c>
      <c r="X112" s="269"/>
      <c r="Y112" s="269"/>
      <c r="Z112" s="269"/>
      <c r="AA112" s="269"/>
      <c r="AB112" s="281"/>
      <c r="AC112" s="280">
        <v>243503.0</v>
      </c>
      <c r="AD112" s="269"/>
      <c r="AE112" s="269"/>
      <c r="AF112" s="281"/>
      <c r="AG112" s="289" t="s">
        <v>629</v>
      </c>
      <c r="AH112" s="287"/>
      <c r="AI112" s="287"/>
      <c r="AJ112" s="287"/>
      <c r="AK112" s="287"/>
      <c r="AL112" s="287"/>
      <c r="AM112" s="287"/>
      <c r="AN112" s="287"/>
      <c r="AO112" s="287"/>
      <c r="AP112" s="287"/>
      <c r="AQ112" s="288"/>
      <c r="AR112" s="252"/>
      <c r="AS112" s="252"/>
      <c r="AT112" s="252"/>
      <c r="AU112" s="252"/>
      <c r="AV112" s="252"/>
      <c r="AW112" s="252"/>
      <c r="AX112" s="252"/>
      <c r="AY112" s="252"/>
      <c r="AZ112" s="252"/>
      <c r="BA112" s="252"/>
      <c r="BB112" s="252"/>
      <c r="BC112" s="252"/>
      <c r="BD112" s="252"/>
      <c r="BE112" s="252"/>
      <c r="BF112" s="252"/>
      <c r="BG112" s="252"/>
      <c r="BH112" s="252"/>
      <c r="BI112" s="252"/>
      <c r="BJ112" s="252"/>
      <c r="BK112" s="252"/>
      <c r="BL112" s="252"/>
    </row>
    <row r="113" ht="18.75" hidden="1" customHeight="1">
      <c r="A113" s="2"/>
      <c r="B113" s="268" t="str">
        <f t="shared" si="20"/>
        <v>Chambers of Xeric - Elder Maul</v>
      </c>
      <c r="C113" s="269"/>
      <c r="D113" s="269"/>
      <c r="E113" s="269"/>
      <c r="F113" s="269"/>
      <c r="G113" s="270"/>
      <c r="H113" s="271" t="s">
        <v>603</v>
      </c>
      <c r="I113" s="269"/>
      <c r="J113" s="270"/>
      <c r="K113" s="272">
        <f t="shared" si="4"/>
        <v>20</v>
      </c>
      <c r="L113" s="271">
        <f t="shared" si="21"/>
        <v>4</v>
      </c>
      <c r="M113" s="269"/>
      <c r="N113" s="270"/>
      <c r="O113" s="273">
        <f t="shared" si="22"/>
        <v>3</v>
      </c>
      <c r="P113" s="269"/>
      <c r="Q113" s="270"/>
      <c r="R113" s="274">
        <f t="shared" si="7"/>
        <v>15</v>
      </c>
      <c r="S113" s="269"/>
      <c r="T113" s="275"/>
      <c r="U113" s="276"/>
      <c r="V113" s="252"/>
      <c r="W113" s="285" t="s">
        <v>630</v>
      </c>
      <c r="X113" s="269"/>
      <c r="Y113" s="269"/>
      <c r="Z113" s="269"/>
      <c r="AA113" s="269"/>
      <c r="AB113" s="281"/>
      <c r="AC113" s="280">
        <v>223452.0</v>
      </c>
      <c r="AD113" s="269"/>
      <c r="AE113" s="269"/>
      <c r="AF113" s="281"/>
      <c r="AG113" s="289" t="s">
        <v>631</v>
      </c>
      <c r="AH113" s="287"/>
      <c r="AI113" s="287"/>
      <c r="AJ113" s="287"/>
      <c r="AK113" s="287"/>
      <c r="AL113" s="287"/>
      <c r="AM113" s="287"/>
      <c r="AN113" s="287"/>
      <c r="AO113" s="287"/>
      <c r="AP113" s="287"/>
      <c r="AQ113" s="288"/>
      <c r="AR113" s="252"/>
      <c r="AS113" s="252"/>
      <c r="AT113" s="252"/>
      <c r="AU113" s="252"/>
      <c r="AV113" s="252"/>
      <c r="AW113" s="252"/>
      <c r="AX113" s="252"/>
      <c r="AY113" s="252"/>
      <c r="AZ113" s="252"/>
      <c r="BA113" s="252"/>
      <c r="BB113" s="252"/>
      <c r="BC113" s="252"/>
      <c r="BD113" s="252"/>
      <c r="BE113" s="252"/>
      <c r="BF113" s="252"/>
      <c r="BG113" s="252"/>
      <c r="BH113" s="252"/>
      <c r="BI113" s="252"/>
      <c r="BJ113" s="252"/>
      <c r="BK113" s="252"/>
      <c r="BL113" s="252"/>
    </row>
    <row r="114" ht="18.75" hidden="1" customHeight="1">
      <c r="A114" s="2"/>
      <c r="B114" s="268" t="str">
        <f t="shared" si="20"/>
        <v>Chambers of Xeric - Kodai Insignia</v>
      </c>
      <c r="C114" s="269"/>
      <c r="D114" s="269"/>
      <c r="E114" s="269"/>
      <c r="F114" s="269"/>
      <c r="G114" s="270"/>
      <c r="H114" s="271" t="s">
        <v>603</v>
      </c>
      <c r="I114" s="269"/>
      <c r="J114" s="270"/>
      <c r="K114" s="272">
        <f t="shared" si="4"/>
        <v>20</v>
      </c>
      <c r="L114" s="271">
        <f t="shared" si="21"/>
        <v>4</v>
      </c>
      <c r="M114" s="269"/>
      <c r="N114" s="270"/>
      <c r="O114" s="273">
        <f t="shared" si="22"/>
        <v>3</v>
      </c>
      <c r="P114" s="269"/>
      <c r="Q114" s="270"/>
      <c r="R114" s="274">
        <f t="shared" si="7"/>
        <v>15</v>
      </c>
      <c r="S114" s="269"/>
      <c r="T114" s="275"/>
      <c r="U114" s="276"/>
      <c r="V114" s="252"/>
      <c r="W114" s="285" t="s">
        <v>632</v>
      </c>
      <c r="X114" s="269"/>
      <c r="Y114" s="269"/>
      <c r="Z114" s="269"/>
      <c r="AA114" s="269"/>
      <c r="AB114" s="281"/>
      <c r="AC114" s="280">
        <v>176397.0</v>
      </c>
      <c r="AD114" s="269"/>
      <c r="AE114" s="269"/>
      <c r="AF114" s="281"/>
      <c r="AG114" s="289" t="s">
        <v>633</v>
      </c>
      <c r="AH114" s="287"/>
      <c r="AI114" s="287"/>
      <c r="AJ114" s="287"/>
      <c r="AK114" s="287"/>
      <c r="AL114" s="287"/>
      <c r="AM114" s="287"/>
      <c r="AN114" s="287"/>
      <c r="AO114" s="287"/>
      <c r="AP114" s="287"/>
      <c r="AQ114" s="288"/>
      <c r="AR114" s="252"/>
      <c r="AS114" s="252"/>
      <c r="AT114" s="252"/>
      <c r="AU114" s="252"/>
      <c r="AV114" s="252"/>
      <c r="AW114" s="252"/>
      <c r="AX114" s="252"/>
      <c r="AY114" s="252"/>
      <c r="AZ114" s="252"/>
      <c r="BA114" s="252"/>
      <c r="BB114" s="252"/>
      <c r="BC114" s="252"/>
      <c r="BD114" s="252"/>
      <c r="BE114" s="252"/>
      <c r="BF114" s="252"/>
      <c r="BG114" s="252"/>
      <c r="BH114" s="252"/>
      <c r="BI114" s="252"/>
      <c r="BJ114" s="252"/>
      <c r="BK114" s="252"/>
      <c r="BL114" s="252"/>
    </row>
    <row r="115" ht="18.75" hidden="1" customHeight="1">
      <c r="A115" s="2"/>
      <c r="B115" s="268" t="str">
        <f t="shared" si="20"/>
        <v>Chambers of Xeric - Twisted Bow</v>
      </c>
      <c r="C115" s="269"/>
      <c r="D115" s="269"/>
      <c r="E115" s="269"/>
      <c r="F115" s="269"/>
      <c r="G115" s="270"/>
      <c r="H115" s="271" t="s">
        <v>603</v>
      </c>
      <c r="I115" s="269"/>
      <c r="J115" s="270"/>
      <c r="K115" s="272">
        <f t="shared" si="4"/>
        <v>20</v>
      </c>
      <c r="L115" s="271">
        <f t="shared" si="21"/>
        <v>4</v>
      </c>
      <c r="M115" s="269"/>
      <c r="N115" s="270"/>
      <c r="O115" s="273">
        <f t="shared" si="22"/>
        <v>3</v>
      </c>
      <c r="P115" s="269"/>
      <c r="Q115" s="270"/>
      <c r="R115" s="274">
        <f t="shared" si="7"/>
        <v>15</v>
      </c>
      <c r="S115" s="269"/>
      <c r="T115" s="275"/>
      <c r="U115" s="276"/>
      <c r="V115" s="252"/>
      <c r="W115" s="285" t="s">
        <v>634</v>
      </c>
      <c r="X115" s="269"/>
      <c r="Y115" s="269"/>
      <c r="Z115" s="269"/>
      <c r="AA115" s="269"/>
      <c r="AB115" s="281"/>
      <c r="AC115" s="280">
        <v>168040.0</v>
      </c>
      <c r="AD115" s="269"/>
      <c r="AE115" s="269"/>
      <c r="AF115" s="281"/>
      <c r="AG115" s="289" t="s">
        <v>635</v>
      </c>
      <c r="AH115" s="287"/>
      <c r="AI115" s="287"/>
      <c r="AJ115" s="287"/>
      <c r="AK115" s="287"/>
      <c r="AL115" s="287"/>
      <c r="AM115" s="287"/>
      <c r="AN115" s="287"/>
      <c r="AO115" s="287"/>
      <c r="AP115" s="287"/>
      <c r="AQ115" s="288"/>
      <c r="AR115" s="252"/>
      <c r="AS115" s="252"/>
      <c r="AT115" s="252"/>
      <c r="AU115" s="252"/>
      <c r="AV115" s="252"/>
      <c r="AW115" s="252"/>
      <c r="AX115" s="252"/>
      <c r="AY115" s="252"/>
      <c r="AZ115" s="252"/>
      <c r="BA115" s="252"/>
      <c r="BB115" s="252"/>
      <c r="BC115" s="252"/>
      <c r="BD115" s="252"/>
      <c r="BE115" s="252"/>
      <c r="BF115" s="252"/>
      <c r="BG115" s="252"/>
      <c r="BH115" s="252"/>
      <c r="BI115" s="252"/>
      <c r="BJ115" s="252"/>
      <c r="BK115" s="252"/>
      <c r="BL115" s="252"/>
    </row>
    <row r="116" ht="18.75" hidden="1" customHeight="1">
      <c r="A116" s="2"/>
      <c r="B116" s="268" t="str">
        <f t="shared" si="20"/>
        <v>Chambers of Xeric - Olmet</v>
      </c>
      <c r="C116" s="269"/>
      <c r="D116" s="269"/>
      <c r="E116" s="269"/>
      <c r="F116" s="269"/>
      <c r="G116" s="270"/>
      <c r="H116" s="271" t="s">
        <v>603</v>
      </c>
      <c r="I116" s="269"/>
      <c r="J116" s="270"/>
      <c r="K116" s="272">
        <f t="shared" si="4"/>
        <v>20</v>
      </c>
      <c r="L116" s="271">
        <f t="shared" si="21"/>
        <v>4</v>
      </c>
      <c r="M116" s="269"/>
      <c r="N116" s="270"/>
      <c r="O116" s="273">
        <f t="shared" si="22"/>
        <v>3</v>
      </c>
      <c r="P116" s="269"/>
      <c r="Q116" s="270"/>
      <c r="R116" s="274">
        <f t="shared" si="7"/>
        <v>15</v>
      </c>
      <c r="S116" s="269"/>
      <c r="T116" s="275"/>
      <c r="U116" s="276"/>
      <c r="V116" s="252"/>
      <c r="W116" s="285" t="s">
        <v>636</v>
      </c>
      <c r="X116" s="269"/>
      <c r="Y116" s="269"/>
      <c r="Z116" s="269"/>
      <c r="AA116" s="269"/>
      <c r="AB116" s="281"/>
      <c r="AC116" s="280">
        <v>152944.0</v>
      </c>
      <c r="AD116" s="269"/>
      <c r="AE116" s="269"/>
      <c r="AF116" s="281"/>
      <c r="AG116" s="289" t="s">
        <v>637</v>
      </c>
      <c r="AH116" s="287"/>
      <c r="AI116" s="287"/>
      <c r="AJ116" s="287"/>
      <c r="AK116" s="287"/>
      <c r="AL116" s="287"/>
      <c r="AM116" s="287"/>
      <c r="AN116" s="287"/>
      <c r="AO116" s="287"/>
      <c r="AP116" s="287"/>
      <c r="AQ116" s="288"/>
      <c r="AR116" s="252"/>
      <c r="AS116" s="252"/>
      <c r="AT116" s="252"/>
      <c r="AU116" s="252"/>
      <c r="AV116" s="252"/>
      <c r="AW116" s="252"/>
      <c r="AX116" s="252"/>
      <c r="AY116" s="252"/>
      <c r="AZ116" s="252"/>
      <c r="BA116" s="252"/>
      <c r="BB116" s="252"/>
      <c r="BC116" s="252"/>
      <c r="BD116" s="252"/>
      <c r="BE116" s="252"/>
      <c r="BF116" s="252"/>
      <c r="BG116" s="252"/>
      <c r="BH116" s="252"/>
      <c r="BI116" s="252"/>
      <c r="BJ116" s="252"/>
      <c r="BK116" s="252"/>
      <c r="BL116" s="252"/>
    </row>
    <row r="117" ht="18.75" hidden="1" customHeight="1">
      <c r="A117" s="2"/>
      <c r="B117" s="268" t="str">
        <f t="shared" si="20"/>
        <v>Chambers of Xeric - Twisted Ancestral Colour Kit</v>
      </c>
      <c r="C117" s="269"/>
      <c r="D117" s="269"/>
      <c r="E117" s="269"/>
      <c r="F117" s="269"/>
      <c r="G117" s="270"/>
      <c r="H117" s="271" t="s">
        <v>603</v>
      </c>
      <c r="I117" s="269"/>
      <c r="J117" s="270"/>
      <c r="K117" s="272">
        <f t="shared" si="4"/>
        <v>20</v>
      </c>
      <c r="L117" s="271">
        <f t="shared" si="21"/>
        <v>4</v>
      </c>
      <c r="M117" s="269"/>
      <c r="N117" s="270"/>
      <c r="O117" s="273">
        <f t="shared" si="22"/>
        <v>3</v>
      </c>
      <c r="P117" s="269"/>
      <c r="Q117" s="270"/>
      <c r="R117" s="274">
        <f t="shared" si="7"/>
        <v>15</v>
      </c>
      <c r="S117" s="269"/>
      <c r="T117" s="275"/>
      <c r="U117" s="276"/>
      <c r="V117" s="252"/>
      <c r="W117" s="285" t="s">
        <v>638</v>
      </c>
      <c r="X117" s="269"/>
      <c r="Y117" s="269"/>
      <c r="Z117" s="269"/>
      <c r="AA117" s="269"/>
      <c r="AB117" s="281"/>
      <c r="AC117" s="280">
        <v>148651.0</v>
      </c>
      <c r="AD117" s="269"/>
      <c r="AE117" s="269"/>
      <c r="AF117" s="281"/>
      <c r="AG117" s="289" t="s">
        <v>639</v>
      </c>
      <c r="AH117" s="287"/>
      <c r="AI117" s="287"/>
      <c r="AJ117" s="287"/>
      <c r="AK117" s="287"/>
      <c r="AL117" s="287"/>
      <c r="AM117" s="287"/>
      <c r="AN117" s="287"/>
      <c r="AO117" s="287"/>
      <c r="AP117" s="287"/>
      <c r="AQ117" s="288"/>
      <c r="AR117" s="252"/>
      <c r="AS117" s="252"/>
      <c r="AT117" s="252"/>
      <c r="AU117" s="252"/>
      <c r="AV117" s="252"/>
      <c r="AW117" s="252"/>
      <c r="AX117" s="252"/>
      <c r="AY117" s="252"/>
      <c r="AZ117" s="252"/>
      <c r="BA117" s="252"/>
      <c r="BB117" s="252"/>
      <c r="BC117" s="252"/>
      <c r="BD117" s="252"/>
      <c r="BE117" s="252"/>
      <c r="BF117" s="252"/>
      <c r="BG117" s="252"/>
      <c r="BH117" s="252"/>
      <c r="BI117" s="252"/>
      <c r="BJ117" s="252"/>
      <c r="BK117" s="252"/>
      <c r="BL117" s="252"/>
    </row>
    <row r="118" ht="18.75" hidden="1" customHeight="1">
      <c r="A118" s="2"/>
      <c r="B118" s="268" t="str">
        <f t="shared" si="20"/>
        <v>Chambers of Xeric - Metamorphic Dust</v>
      </c>
      <c r="C118" s="269"/>
      <c r="D118" s="269"/>
      <c r="E118" s="269"/>
      <c r="F118" s="269"/>
      <c r="G118" s="270"/>
      <c r="H118" s="271" t="s">
        <v>603</v>
      </c>
      <c r="I118" s="269"/>
      <c r="J118" s="270"/>
      <c r="K118" s="272">
        <f t="shared" si="4"/>
        <v>20</v>
      </c>
      <c r="L118" s="271">
        <f t="shared" si="21"/>
        <v>4</v>
      </c>
      <c r="M118" s="269"/>
      <c r="N118" s="270"/>
      <c r="O118" s="273">
        <f t="shared" si="22"/>
        <v>3</v>
      </c>
      <c r="P118" s="269"/>
      <c r="Q118" s="270"/>
      <c r="R118" s="274">
        <f t="shared" si="7"/>
        <v>15</v>
      </c>
      <c r="S118" s="269"/>
      <c r="T118" s="275"/>
      <c r="U118" s="276"/>
      <c r="V118" s="252"/>
      <c r="W118" s="285" t="s">
        <v>640</v>
      </c>
      <c r="X118" s="269"/>
      <c r="Y118" s="269"/>
      <c r="Z118" s="269"/>
      <c r="AA118" s="269"/>
      <c r="AB118" s="281"/>
      <c r="AC118" s="280">
        <v>131200.0</v>
      </c>
      <c r="AD118" s="269"/>
      <c r="AE118" s="269"/>
      <c r="AF118" s="281"/>
      <c r="AG118" s="289" t="s">
        <v>641</v>
      </c>
      <c r="AH118" s="287"/>
      <c r="AI118" s="287"/>
      <c r="AJ118" s="287"/>
      <c r="AK118" s="287"/>
      <c r="AL118" s="287"/>
      <c r="AM118" s="287"/>
      <c r="AN118" s="287"/>
      <c r="AO118" s="287"/>
      <c r="AP118" s="287"/>
      <c r="AQ118" s="288"/>
      <c r="AR118" s="252"/>
      <c r="AS118" s="252"/>
      <c r="AT118" s="252"/>
      <c r="AU118" s="252"/>
      <c r="AV118" s="252"/>
      <c r="AW118" s="252"/>
      <c r="AX118" s="252"/>
      <c r="AY118" s="252"/>
      <c r="AZ118" s="252"/>
      <c r="BA118" s="252"/>
      <c r="BB118" s="252"/>
      <c r="BC118" s="252"/>
      <c r="BD118" s="252"/>
      <c r="BE118" s="252"/>
      <c r="BF118" s="252"/>
      <c r="BG118" s="252"/>
      <c r="BH118" s="252"/>
      <c r="BI118" s="252"/>
      <c r="BJ118" s="252"/>
      <c r="BK118" s="252"/>
      <c r="BL118" s="252"/>
    </row>
    <row r="119" ht="18.75" hidden="1" customHeight="1">
      <c r="A119" s="2"/>
      <c r="B119" s="268" t="str">
        <f t="shared" ref="B119:B123" si="23">$C$9 &amp; " - " &amp; C11</f>
        <v>Medium Boots - Ranger Boots</v>
      </c>
      <c r="C119" s="269"/>
      <c r="D119" s="269"/>
      <c r="E119" s="269"/>
      <c r="F119" s="269"/>
      <c r="G119" s="270"/>
      <c r="H119" s="271" t="s">
        <v>589</v>
      </c>
      <c r="I119" s="269"/>
      <c r="J119" s="270"/>
      <c r="K119" s="272">
        <f t="shared" si="4"/>
        <v>10</v>
      </c>
      <c r="L119" s="271">
        <f t="shared" ref="L119:L123" si="24">$L$9</f>
        <v>5</v>
      </c>
      <c r="M119" s="269"/>
      <c r="N119" s="270"/>
      <c r="O119" s="273">
        <f t="shared" ref="O119:O123" si="25">K11</f>
        <v>1</v>
      </c>
      <c r="P119" s="269"/>
      <c r="Q119" s="270"/>
      <c r="R119" s="274">
        <f t="shared" si="7"/>
        <v>2</v>
      </c>
      <c r="S119" s="269"/>
      <c r="T119" s="275"/>
      <c r="U119" s="276"/>
      <c r="V119" s="252"/>
      <c r="W119" s="285" t="s">
        <v>642</v>
      </c>
      <c r="X119" s="269"/>
      <c r="Y119" s="269"/>
      <c r="Z119" s="269"/>
      <c r="AA119" s="269"/>
      <c r="AB119" s="281"/>
      <c r="AC119" s="280">
        <v>102996.0</v>
      </c>
      <c r="AD119" s="269"/>
      <c r="AE119" s="269"/>
      <c r="AF119" s="281"/>
      <c r="AG119" s="289" t="s">
        <v>643</v>
      </c>
      <c r="AH119" s="287"/>
      <c r="AI119" s="287"/>
      <c r="AJ119" s="287"/>
      <c r="AK119" s="287"/>
      <c r="AL119" s="287"/>
      <c r="AM119" s="287"/>
      <c r="AN119" s="287"/>
      <c r="AO119" s="287"/>
      <c r="AP119" s="287"/>
      <c r="AQ119" s="288"/>
      <c r="AR119" s="252"/>
      <c r="AS119" s="252"/>
      <c r="AT119" s="252"/>
      <c r="AU119" s="252"/>
      <c r="AV119" s="252"/>
      <c r="AW119" s="252"/>
      <c r="AX119" s="252"/>
      <c r="AY119" s="252"/>
      <c r="AZ119" s="252"/>
      <c r="BA119" s="252"/>
      <c r="BB119" s="252"/>
      <c r="BC119" s="252"/>
      <c r="BD119" s="252"/>
      <c r="BE119" s="252"/>
      <c r="BF119" s="252"/>
      <c r="BG119" s="252"/>
      <c r="BH119" s="252"/>
      <c r="BI119" s="252"/>
      <c r="BJ119" s="252"/>
      <c r="BK119" s="252"/>
      <c r="BL119" s="252"/>
    </row>
    <row r="120" ht="18.75" hidden="1" customHeight="1">
      <c r="A120" s="2"/>
      <c r="B120" s="268" t="str">
        <f t="shared" si="23"/>
        <v>Medium Boots - Wizard Boots</v>
      </c>
      <c r="C120" s="269"/>
      <c r="D120" s="269"/>
      <c r="E120" s="269"/>
      <c r="F120" s="269"/>
      <c r="G120" s="270"/>
      <c r="H120" s="271" t="s">
        <v>589</v>
      </c>
      <c r="I120" s="269"/>
      <c r="J120" s="270"/>
      <c r="K120" s="272">
        <f t="shared" si="4"/>
        <v>10</v>
      </c>
      <c r="L120" s="271">
        <f t="shared" si="24"/>
        <v>5</v>
      </c>
      <c r="M120" s="269"/>
      <c r="N120" s="270"/>
      <c r="O120" s="273">
        <f t="shared" si="25"/>
        <v>1</v>
      </c>
      <c r="P120" s="269"/>
      <c r="Q120" s="270"/>
      <c r="R120" s="274">
        <f t="shared" si="7"/>
        <v>2</v>
      </c>
      <c r="S120" s="269"/>
      <c r="T120" s="275"/>
      <c r="U120" s="276"/>
      <c r="V120" s="252"/>
      <c r="W120" s="285" t="s">
        <v>644</v>
      </c>
      <c r="X120" s="269"/>
      <c r="Y120" s="269"/>
      <c r="Z120" s="269"/>
      <c r="AA120" s="269"/>
      <c r="AB120" s="281"/>
      <c r="AC120" s="280">
        <v>99512.0</v>
      </c>
      <c r="AD120" s="269"/>
      <c r="AE120" s="269"/>
      <c r="AF120" s="281"/>
      <c r="AG120" s="289" t="s">
        <v>645</v>
      </c>
      <c r="AH120" s="287"/>
      <c r="AI120" s="287"/>
      <c r="AJ120" s="287"/>
      <c r="AK120" s="287"/>
      <c r="AL120" s="287"/>
      <c r="AM120" s="287"/>
      <c r="AN120" s="287"/>
      <c r="AO120" s="287"/>
      <c r="AP120" s="287"/>
      <c r="AQ120" s="288"/>
      <c r="AR120" s="252"/>
      <c r="AS120" s="252"/>
      <c r="AT120" s="252"/>
      <c r="AU120" s="252"/>
      <c r="AV120" s="252"/>
      <c r="AW120" s="252"/>
      <c r="AX120" s="252"/>
      <c r="AY120" s="252"/>
      <c r="AZ120" s="252"/>
      <c r="BA120" s="252"/>
      <c r="BB120" s="252"/>
      <c r="BC120" s="252"/>
      <c r="BD120" s="252"/>
      <c r="BE120" s="252"/>
      <c r="BF120" s="252"/>
      <c r="BG120" s="252"/>
      <c r="BH120" s="252"/>
      <c r="BI120" s="252"/>
      <c r="BJ120" s="252"/>
      <c r="BK120" s="252"/>
      <c r="BL120" s="252"/>
    </row>
    <row r="121" ht="18.75" hidden="1" customHeight="1">
      <c r="A121" s="2"/>
      <c r="B121" s="268" t="str">
        <f t="shared" si="23"/>
        <v>Medium Boots - Holy Sandals</v>
      </c>
      <c r="C121" s="269"/>
      <c r="D121" s="269"/>
      <c r="E121" s="269"/>
      <c r="F121" s="269"/>
      <c r="G121" s="270"/>
      <c r="H121" s="271" t="s">
        <v>589</v>
      </c>
      <c r="I121" s="269"/>
      <c r="J121" s="270"/>
      <c r="K121" s="272">
        <f t="shared" si="4"/>
        <v>10</v>
      </c>
      <c r="L121" s="271">
        <f t="shared" si="24"/>
        <v>5</v>
      </c>
      <c r="M121" s="269"/>
      <c r="N121" s="270"/>
      <c r="O121" s="273">
        <f t="shared" si="25"/>
        <v>1</v>
      </c>
      <c r="P121" s="269"/>
      <c r="Q121" s="270"/>
      <c r="R121" s="274">
        <f t="shared" si="7"/>
        <v>2</v>
      </c>
      <c r="S121" s="269"/>
      <c r="T121" s="275"/>
      <c r="U121" s="276"/>
      <c r="V121" s="252"/>
      <c r="W121" s="285" t="s">
        <v>646</v>
      </c>
      <c r="X121" s="269"/>
      <c r="Y121" s="269"/>
      <c r="Z121" s="269"/>
      <c r="AA121" s="269"/>
      <c r="AB121" s="281"/>
      <c r="AC121" s="280">
        <v>97648.0</v>
      </c>
      <c r="AD121" s="269"/>
      <c r="AE121" s="269"/>
      <c r="AF121" s="281"/>
      <c r="AG121" s="289" t="s">
        <v>647</v>
      </c>
      <c r="AH121" s="287"/>
      <c r="AI121" s="287"/>
      <c r="AJ121" s="287"/>
      <c r="AK121" s="287"/>
      <c r="AL121" s="287"/>
      <c r="AM121" s="287"/>
      <c r="AN121" s="287"/>
      <c r="AO121" s="287"/>
      <c r="AP121" s="287"/>
      <c r="AQ121" s="288"/>
      <c r="AR121" s="252"/>
      <c r="AS121" s="252"/>
      <c r="AT121" s="252"/>
      <c r="AU121" s="252"/>
      <c r="AV121" s="252"/>
      <c r="AW121" s="252"/>
      <c r="AX121" s="252"/>
      <c r="AY121" s="252"/>
      <c r="AZ121" s="252"/>
      <c r="BA121" s="252"/>
      <c r="BB121" s="252"/>
      <c r="BC121" s="252"/>
      <c r="BD121" s="252"/>
      <c r="BE121" s="252"/>
      <c r="BF121" s="252"/>
      <c r="BG121" s="252"/>
      <c r="BH121" s="252"/>
      <c r="BI121" s="252"/>
      <c r="BJ121" s="252"/>
      <c r="BK121" s="252"/>
      <c r="BL121" s="252"/>
    </row>
    <row r="122" ht="18.75" hidden="1" customHeight="1">
      <c r="A122" s="2"/>
      <c r="B122" s="268" t="str">
        <f t="shared" si="23"/>
        <v>Medium Boots - Spiked Manacles</v>
      </c>
      <c r="C122" s="269"/>
      <c r="D122" s="269"/>
      <c r="E122" s="269"/>
      <c r="F122" s="269"/>
      <c r="G122" s="270"/>
      <c r="H122" s="271" t="s">
        <v>589</v>
      </c>
      <c r="I122" s="269"/>
      <c r="J122" s="270"/>
      <c r="K122" s="272">
        <f t="shared" si="4"/>
        <v>10</v>
      </c>
      <c r="L122" s="271">
        <f t="shared" si="24"/>
        <v>5</v>
      </c>
      <c r="M122" s="269"/>
      <c r="N122" s="270"/>
      <c r="O122" s="273">
        <f t="shared" si="25"/>
        <v>1</v>
      </c>
      <c r="P122" s="269"/>
      <c r="Q122" s="270"/>
      <c r="R122" s="274">
        <f t="shared" si="7"/>
        <v>2</v>
      </c>
      <c r="S122" s="269"/>
      <c r="T122" s="275"/>
      <c r="U122" s="276"/>
      <c r="V122" s="252"/>
      <c r="W122" s="285" t="s">
        <v>648</v>
      </c>
      <c r="X122" s="269"/>
      <c r="Y122" s="269"/>
      <c r="Z122" s="269"/>
      <c r="AA122" s="269"/>
      <c r="AB122" s="281"/>
      <c r="AC122" s="280">
        <v>81184.0</v>
      </c>
      <c r="AD122" s="269"/>
      <c r="AE122" s="269"/>
      <c r="AF122" s="281"/>
      <c r="AG122" s="289" t="s">
        <v>649</v>
      </c>
      <c r="AH122" s="287"/>
      <c r="AI122" s="287"/>
      <c r="AJ122" s="287"/>
      <c r="AK122" s="287"/>
      <c r="AL122" s="287"/>
      <c r="AM122" s="287"/>
      <c r="AN122" s="287"/>
      <c r="AO122" s="287"/>
      <c r="AP122" s="287"/>
      <c r="AQ122" s="288"/>
      <c r="AR122" s="252"/>
      <c r="AS122" s="252"/>
      <c r="AT122" s="252"/>
      <c r="AU122" s="252"/>
      <c r="AV122" s="252"/>
      <c r="AW122" s="252"/>
      <c r="AX122" s="252"/>
      <c r="AY122" s="252"/>
      <c r="AZ122" s="252"/>
      <c r="BA122" s="252"/>
      <c r="BB122" s="252"/>
      <c r="BC122" s="252"/>
      <c r="BD122" s="252"/>
      <c r="BE122" s="252"/>
      <c r="BF122" s="252"/>
      <c r="BG122" s="252"/>
      <c r="BH122" s="252"/>
      <c r="BI122" s="252"/>
      <c r="BJ122" s="252"/>
      <c r="BK122" s="252"/>
      <c r="BL122" s="252"/>
    </row>
    <row r="123" ht="18.75" hidden="1" customHeight="1">
      <c r="A123" s="2"/>
      <c r="B123" s="268" t="str">
        <f t="shared" si="23"/>
        <v>Medium Boots - Climbing Boots (g)</v>
      </c>
      <c r="C123" s="269"/>
      <c r="D123" s="269"/>
      <c r="E123" s="269"/>
      <c r="F123" s="269"/>
      <c r="G123" s="270"/>
      <c r="H123" s="271" t="s">
        <v>589</v>
      </c>
      <c r="I123" s="269"/>
      <c r="J123" s="270"/>
      <c r="K123" s="272">
        <f t="shared" si="4"/>
        <v>10</v>
      </c>
      <c r="L123" s="271">
        <f t="shared" si="24"/>
        <v>5</v>
      </c>
      <c r="M123" s="269"/>
      <c r="N123" s="270"/>
      <c r="O123" s="273">
        <f t="shared" si="25"/>
        <v>1</v>
      </c>
      <c r="P123" s="269"/>
      <c r="Q123" s="270"/>
      <c r="R123" s="274">
        <f t="shared" si="7"/>
        <v>2</v>
      </c>
      <c r="S123" s="269"/>
      <c r="T123" s="275"/>
      <c r="U123" s="276"/>
      <c r="V123" s="252"/>
      <c r="W123" s="285" t="s">
        <v>650</v>
      </c>
      <c r="X123" s="269"/>
      <c r="Y123" s="269"/>
      <c r="Z123" s="269"/>
      <c r="AA123" s="269"/>
      <c r="AB123" s="281"/>
      <c r="AC123" s="280">
        <v>49397.0</v>
      </c>
      <c r="AD123" s="269"/>
      <c r="AE123" s="269"/>
      <c r="AF123" s="281"/>
      <c r="AG123" s="289" t="s">
        <v>651</v>
      </c>
      <c r="AH123" s="287"/>
      <c r="AI123" s="287"/>
      <c r="AJ123" s="287"/>
      <c r="AK123" s="287"/>
      <c r="AL123" s="287"/>
      <c r="AM123" s="287"/>
      <c r="AN123" s="287"/>
      <c r="AO123" s="287"/>
      <c r="AP123" s="287"/>
      <c r="AQ123" s="288"/>
      <c r="AR123" s="252"/>
      <c r="AS123" s="252"/>
      <c r="AT123" s="252"/>
      <c r="AU123" s="252"/>
      <c r="AV123" s="252"/>
      <c r="AW123" s="252"/>
      <c r="AX123" s="252"/>
      <c r="AY123" s="252"/>
      <c r="AZ123" s="252"/>
      <c r="BA123" s="252"/>
      <c r="BB123" s="252"/>
      <c r="BC123" s="252"/>
      <c r="BD123" s="252"/>
      <c r="BE123" s="252"/>
      <c r="BF123" s="252"/>
      <c r="BG123" s="252"/>
      <c r="BH123" s="252"/>
      <c r="BI123" s="252"/>
      <c r="BJ123" s="252"/>
      <c r="BK123" s="252"/>
      <c r="BL123" s="252"/>
    </row>
    <row r="124" ht="18.75" hidden="1" customHeight="1">
      <c r="A124" s="2"/>
      <c r="B124" s="268" t="str">
        <f t="shared" ref="B124:B126" si="26">$M$10 &amp; " - " &amp; M12</f>
        <v>Yama - Soulflame Horn</v>
      </c>
      <c r="C124" s="269"/>
      <c r="D124" s="269"/>
      <c r="E124" s="269"/>
      <c r="F124" s="269"/>
      <c r="G124" s="270"/>
      <c r="H124" s="271" t="s">
        <v>603</v>
      </c>
      <c r="I124" s="269"/>
      <c r="J124" s="270"/>
      <c r="K124" s="272">
        <f t="shared" si="4"/>
        <v>20</v>
      </c>
      <c r="L124" s="271">
        <f t="shared" ref="L124:L126" si="27">$V$10</f>
        <v>3</v>
      </c>
      <c r="M124" s="269"/>
      <c r="N124" s="270"/>
      <c r="O124" s="273">
        <f t="shared" ref="O124:O126" si="28">U12</f>
        <v>1</v>
      </c>
      <c r="P124" s="269"/>
      <c r="Q124" s="270"/>
      <c r="R124" s="274">
        <f t="shared" si="7"/>
        <v>6.666666667</v>
      </c>
      <c r="S124" s="269"/>
      <c r="T124" s="275"/>
      <c r="U124" s="276"/>
      <c r="V124" s="252"/>
      <c r="W124" s="285" t="s">
        <v>244</v>
      </c>
      <c r="X124" s="269"/>
      <c r="Y124" s="269"/>
      <c r="Z124" s="269"/>
      <c r="AA124" s="269"/>
      <c r="AB124" s="281"/>
      <c r="AC124" s="280">
        <v>1.9496883E7</v>
      </c>
      <c r="AD124" s="269"/>
      <c r="AE124" s="269"/>
      <c r="AF124" s="281"/>
      <c r="AG124" s="289" t="s">
        <v>652</v>
      </c>
      <c r="AH124" s="287"/>
      <c r="AI124" s="287"/>
      <c r="AJ124" s="287"/>
      <c r="AK124" s="287"/>
      <c r="AL124" s="287"/>
      <c r="AM124" s="287"/>
      <c r="AN124" s="287"/>
      <c r="AO124" s="287"/>
      <c r="AP124" s="287"/>
      <c r="AQ124" s="288"/>
      <c r="AR124" s="252"/>
      <c r="AS124" s="252"/>
      <c r="AT124" s="252"/>
      <c r="AU124" s="252"/>
      <c r="AV124" s="252"/>
      <c r="AW124" s="252"/>
      <c r="AX124" s="252"/>
      <c r="AY124" s="252"/>
      <c r="AZ124" s="252"/>
      <c r="BA124" s="252"/>
      <c r="BB124" s="252"/>
      <c r="BC124" s="252"/>
      <c r="BD124" s="252"/>
      <c r="BE124" s="252"/>
      <c r="BF124" s="252"/>
      <c r="BG124" s="252"/>
      <c r="BH124" s="252"/>
      <c r="BI124" s="252"/>
      <c r="BJ124" s="252"/>
      <c r="BK124" s="252"/>
      <c r="BL124" s="252"/>
    </row>
    <row r="125" ht="18.75" hidden="1" customHeight="1">
      <c r="A125" s="2"/>
      <c r="B125" s="268" t="str">
        <f t="shared" si="26"/>
        <v>Yama - Oathplate Piece (any)</v>
      </c>
      <c r="C125" s="269"/>
      <c r="D125" s="269"/>
      <c r="E125" s="269"/>
      <c r="F125" s="269"/>
      <c r="G125" s="270"/>
      <c r="H125" s="271" t="s">
        <v>603</v>
      </c>
      <c r="I125" s="269"/>
      <c r="J125" s="270"/>
      <c r="K125" s="272">
        <f t="shared" si="4"/>
        <v>20</v>
      </c>
      <c r="L125" s="271">
        <f t="shared" si="27"/>
        <v>3</v>
      </c>
      <c r="M125" s="269"/>
      <c r="N125" s="270"/>
      <c r="O125" s="273">
        <f t="shared" si="28"/>
        <v>2</v>
      </c>
      <c r="P125" s="269"/>
      <c r="Q125" s="270"/>
      <c r="R125" s="274">
        <f t="shared" si="7"/>
        <v>13.33333333</v>
      </c>
      <c r="S125" s="269"/>
      <c r="T125" s="275"/>
      <c r="U125" s="276"/>
      <c r="V125" s="252"/>
      <c r="W125" s="285" t="s">
        <v>270</v>
      </c>
      <c r="X125" s="269"/>
      <c r="Y125" s="269"/>
      <c r="Z125" s="269"/>
      <c r="AA125" s="269"/>
      <c r="AB125" s="281"/>
      <c r="AC125" s="280">
        <v>3203983.0</v>
      </c>
      <c r="AD125" s="269"/>
      <c r="AE125" s="269"/>
      <c r="AF125" s="281"/>
      <c r="AG125" s="289" t="s">
        <v>139</v>
      </c>
      <c r="AH125" s="287"/>
      <c r="AI125" s="287"/>
      <c r="AJ125" s="287"/>
      <c r="AK125" s="287"/>
      <c r="AL125" s="287"/>
      <c r="AM125" s="287"/>
      <c r="AN125" s="287"/>
      <c r="AO125" s="287"/>
      <c r="AP125" s="287"/>
      <c r="AQ125" s="288"/>
      <c r="AR125" s="252"/>
      <c r="AS125" s="252"/>
      <c r="AT125" s="252"/>
      <c r="AU125" s="252"/>
      <c r="AV125" s="252"/>
      <c r="AW125" s="252"/>
      <c r="AX125" s="252"/>
      <c r="AY125" s="252"/>
      <c r="AZ125" s="252"/>
      <c r="BA125" s="252"/>
      <c r="BB125" s="252"/>
      <c r="BC125" s="252"/>
      <c r="BD125" s="252"/>
      <c r="BE125" s="252"/>
      <c r="BF125" s="252"/>
      <c r="BG125" s="252"/>
      <c r="BH125" s="252"/>
      <c r="BI125" s="252"/>
      <c r="BJ125" s="252"/>
      <c r="BK125" s="252"/>
      <c r="BL125" s="252"/>
    </row>
    <row r="126" ht="18.75" hidden="1" customHeight="1">
      <c r="A126" s="2"/>
      <c r="B126" s="268" t="str">
        <f t="shared" si="26"/>
        <v>Yama - Yami</v>
      </c>
      <c r="C126" s="269"/>
      <c r="D126" s="269"/>
      <c r="E126" s="269"/>
      <c r="F126" s="269"/>
      <c r="G126" s="270"/>
      <c r="H126" s="271" t="s">
        <v>603</v>
      </c>
      <c r="I126" s="269"/>
      <c r="J126" s="270"/>
      <c r="K126" s="272">
        <f t="shared" si="4"/>
        <v>20</v>
      </c>
      <c r="L126" s="271">
        <f t="shared" si="27"/>
        <v>3</v>
      </c>
      <c r="M126" s="269"/>
      <c r="N126" s="270"/>
      <c r="O126" s="273">
        <f t="shared" si="28"/>
        <v>2</v>
      </c>
      <c r="P126" s="269"/>
      <c r="Q126" s="270"/>
      <c r="R126" s="274">
        <f t="shared" si="7"/>
        <v>13.33333333</v>
      </c>
      <c r="S126" s="269"/>
      <c r="T126" s="275"/>
      <c r="U126" s="276"/>
      <c r="V126" s="252"/>
      <c r="W126" s="285" t="s">
        <v>263</v>
      </c>
      <c r="X126" s="269"/>
      <c r="Y126" s="269"/>
      <c r="Z126" s="269"/>
      <c r="AA126" s="269"/>
      <c r="AB126" s="281"/>
      <c r="AC126" s="280">
        <v>3083876.0</v>
      </c>
      <c r="AD126" s="269"/>
      <c r="AE126" s="269"/>
      <c r="AF126" s="281"/>
      <c r="AG126" s="289" t="s">
        <v>148</v>
      </c>
      <c r="AH126" s="287"/>
      <c r="AI126" s="287"/>
      <c r="AJ126" s="287"/>
      <c r="AK126" s="287"/>
      <c r="AL126" s="287"/>
      <c r="AM126" s="287"/>
      <c r="AN126" s="287"/>
      <c r="AO126" s="287"/>
      <c r="AP126" s="287"/>
      <c r="AQ126" s="288"/>
      <c r="AR126" s="252"/>
      <c r="AS126" s="252"/>
      <c r="AT126" s="252"/>
      <c r="AU126" s="252"/>
      <c r="AV126" s="252"/>
      <c r="AW126" s="252"/>
      <c r="AX126" s="252"/>
      <c r="AY126" s="252"/>
      <c r="AZ126" s="252"/>
      <c r="BA126" s="252"/>
      <c r="BB126" s="252"/>
      <c r="BC126" s="252"/>
      <c r="BD126" s="252"/>
      <c r="BE126" s="252"/>
      <c r="BF126" s="252"/>
      <c r="BG126" s="252"/>
      <c r="BH126" s="252"/>
      <c r="BI126" s="252"/>
      <c r="BJ126" s="252"/>
      <c r="BK126" s="252"/>
      <c r="BL126" s="252"/>
    </row>
    <row r="127" ht="18.75" hidden="1" customHeight="1">
      <c r="A127" s="2"/>
      <c r="B127" s="268" t="str">
        <f t="shared" ref="B127:B133" si="29">$W$13 &amp; " - " &amp; W15</f>
        <v>Tempoross - Fish Barrel</v>
      </c>
      <c r="C127" s="269"/>
      <c r="D127" s="269"/>
      <c r="E127" s="269"/>
      <c r="F127" s="269"/>
      <c r="G127" s="270"/>
      <c r="H127" s="271" t="s">
        <v>589</v>
      </c>
      <c r="I127" s="269"/>
      <c r="J127" s="270"/>
      <c r="K127" s="272">
        <f t="shared" si="4"/>
        <v>10</v>
      </c>
      <c r="L127" s="271">
        <f t="shared" ref="L127:L133" si="30">$AF$13</f>
        <v>10</v>
      </c>
      <c r="M127" s="269"/>
      <c r="N127" s="270"/>
      <c r="O127" s="273">
        <f t="shared" ref="O127:O133" si="31">AE15</f>
        <v>1</v>
      </c>
      <c r="P127" s="269"/>
      <c r="Q127" s="270"/>
      <c r="R127" s="274">
        <f t="shared" si="7"/>
        <v>1</v>
      </c>
      <c r="S127" s="269"/>
      <c r="T127" s="275"/>
      <c r="U127" s="276"/>
      <c r="V127" s="252"/>
      <c r="W127" s="285" t="s">
        <v>255</v>
      </c>
      <c r="X127" s="269"/>
      <c r="Y127" s="269"/>
      <c r="Z127" s="269"/>
      <c r="AA127" s="269"/>
      <c r="AB127" s="281"/>
      <c r="AC127" s="280">
        <v>121682.0</v>
      </c>
      <c r="AD127" s="269"/>
      <c r="AE127" s="269"/>
      <c r="AF127" s="281"/>
      <c r="AG127" s="289" t="s">
        <v>653</v>
      </c>
      <c r="AH127" s="287"/>
      <c r="AI127" s="287"/>
      <c r="AJ127" s="287"/>
      <c r="AK127" s="287"/>
      <c r="AL127" s="287"/>
      <c r="AM127" s="287"/>
      <c r="AN127" s="287"/>
      <c r="AO127" s="287"/>
      <c r="AP127" s="287"/>
      <c r="AQ127" s="288"/>
      <c r="AR127" s="252"/>
      <c r="AS127" s="252"/>
      <c r="AT127" s="252"/>
      <c r="AU127" s="252"/>
      <c r="AV127" s="252"/>
      <c r="AW127" s="252"/>
      <c r="AX127" s="252"/>
      <c r="AY127" s="252"/>
      <c r="AZ127" s="252"/>
      <c r="BA127" s="252"/>
      <c r="BB127" s="252"/>
      <c r="BC127" s="252"/>
      <c r="BD127" s="252"/>
      <c r="BE127" s="252"/>
      <c r="BF127" s="252"/>
      <c r="BG127" s="252"/>
      <c r="BH127" s="252"/>
      <c r="BI127" s="252"/>
      <c r="BJ127" s="252"/>
      <c r="BK127" s="252"/>
      <c r="BL127" s="252"/>
    </row>
    <row r="128" ht="18.75" hidden="1" customHeight="1">
      <c r="A128" s="2"/>
      <c r="B128" s="268" t="str">
        <f t="shared" si="29"/>
        <v>Tempoross - Tackle Box</v>
      </c>
      <c r="C128" s="269"/>
      <c r="D128" s="269"/>
      <c r="E128" s="269"/>
      <c r="F128" s="269"/>
      <c r="G128" s="270"/>
      <c r="H128" s="271" t="s">
        <v>589</v>
      </c>
      <c r="I128" s="269"/>
      <c r="J128" s="270"/>
      <c r="K128" s="272">
        <f t="shared" si="4"/>
        <v>10</v>
      </c>
      <c r="L128" s="271">
        <f t="shared" si="30"/>
        <v>10</v>
      </c>
      <c r="M128" s="269"/>
      <c r="N128" s="270"/>
      <c r="O128" s="273">
        <f t="shared" si="31"/>
        <v>1</v>
      </c>
      <c r="P128" s="269"/>
      <c r="Q128" s="270"/>
      <c r="R128" s="274">
        <f t="shared" si="7"/>
        <v>1</v>
      </c>
      <c r="S128" s="269"/>
      <c r="T128" s="275"/>
      <c r="U128" s="276"/>
      <c r="V128" s="252"/>
      <c r="W128" s="285" t="s">
        <v>301</v>
      </c>
      <c r="X128" s="269"/>
      <c r="Y128" s="269"/>
      <c r="Z128" s="269"/>
      <c r="AA128" s="269"/>
      <c r="AB128" s="281"/>
      <c r="AC128" s="280">
        <v>1.387378105E9</v>
      </c>
      <c r="AD128" s="269"/>
      <c r="AE128" s="269"/>
      <c r="AF128" s="281"/>
      <c r="AG128" s="289" t="s">
        <v>654</v>
      </c>
      <c r="AH128" s="287"/>
      <c r="AI128" s="287"/>
      <c r="AJ128" s="287"/>
      <c r="AK128" s="287"/>
      <c r="AL128" s="287"/>
      <c r="AM128" s="287"/>
      <c r="AN128" s="287"/>
      <c r="AO128" s="287"/>
      <c r="AP128" s="287"/>
      <c r="AQ128" s="288"/>
      <c r="AR128" s="252"/>
      <c r="AS128" s="252"/>
      <c r="AT128" s="252"/>
      <c r="AU128" s="252"/>
      <c r="AV128" s="252"/>
      <c r="AW128" s="252"/>
      <c r="AX128" s="252"/>
      <c r="AY128" s="252"/>
      <c r="AZ128" s="252"/>
      <c r="BA128" s="252"/>
      <c r="BB128" s="252"/>
      <c r="BC128" s="252"/>
      <c r="BD128" s="252"/>
      <c r="BE128" s="252"/>
      <c r="BF128" s="252"/>
      <c r="BG128" s="252"/>
      <c r="BH128" s="252"/>
      <c r="BI128" s="252"/>
      <c r="BJ128" s="252"/>
      <c r="BK128" s="252"/>
      <c r="BL128" s="252"/>
    </row>
    <row r="129" ht="18.75" hidden="1" customHeight="1">
      <c r="A129" s="2"/>
      <c r="B129" s="268" t="str">
        <f t="shared" si="29"/>
        <v>Tempoross - Soaked Pages X 25</v>
      </c>
      <c r="C129" s="269"/>
      <c r="D129" s="269"/>
      <c r="E129" s="269"/>
      <c r="F129" s="269"/>
      <c r="G129" s="270"/>
      <c r="H129" s="271" t="s">
        <v>589</v>
      </c>
      <c r="I129" s="269"/>
      <c r="J129" s="270"/>
      <c r="K129" s="272">
        <f t="shared" si="4"/>
        <v>10</v>
      </c>
      <c r="L129" s="271">
        <f t="shared" si="30"/>
        <v>10</v>
      </c>
      <c r="M129" s="269"/>
      <c r="N129" s="270"/>
      <c r="O129" s="273">
        <f t="shared" si="31"/>
        <v>1</v>
      </c>
      <c r="P129" s="269"/>
      <c r="Q129" s="270"/>
      <c r="R129" s="274">
        <f t="shared" si="7"/>
        <v>1</v>
      </c>
      <c r="S129" s="269"/>
      <c r="T129" s="275"/>
      <c r="U129" s="276"/>
      <c r="V129" s="252"/>
      <c r="W129" s="285" t="s">
        <v>655</v>
      </c>
      <c r="X129" s="269"/>
      <c r="Y129" s="269"/>
      <c r="Z129" s="269"/>
      <c r="AA129" s="269"/>
      <c r="AB129" s="281"/>
      <c r="AC129" s="280">
        <v>9.2732346E7</v>
      </c>
      <c r="AD129" s="269"/>
      <c r="AE129" s="269"/>
      <c r="AF129" s="281"/>
      <c r="AG129" s="289" t="s">
        <v>656</v>
      </c>
      <c r="AH129" s="287"/>
      <c r="AI129" s="287"/>
      <c r="AJ129" s="287"/>
      <c r="AK129" s="287"/>
      <c r="AL129" s="287"/>
      <c r="AM129" s="287"/>
      <c r="AN129" s="287"/>
      <c r="AO129" s="287"/>
      <c r="AP129" s="287"/>
      <c r="AQ129" s="288"/>
      <c r="AR129" s="252"/>
      <c r="AS129" s="252"/>
      <c r="AT129" s="252"/>
      <c r="AU129" s="252"/>
      <c r="AV129" s="252"/>
      <c r="AW129" s="252"/>
      <c r="AX129" s="252"/>
      <c r="AY129" s="252"/>
      <c r="AZ129" s="252"/>
      <c r="BA129" s="252"/>
      <c r="BB129" s="252"/>
      <c r="BC129" s="252"/>
      <c r="BD129" s="252"/>
      <c r="BE129" s="252"/>
      <c r="BF129" s="252"/>
      <c r="BG129" s="252"/>
      <c r="BH129" s="252"/>
      <c r="BI129" s="252"/>
      <c r="BJ129" s="252"/>
      <c r="BK129" s="252"/>
      <c r="BL129" s="252"/>
    </row>
    <row r="130" ht="18.75" hidden="1" customHeight="1">
      <c r="A130" s="2"/>
      <c r="B130" s="268" t="str">
        <f t="shared" si="29"/>
        <v>Tempoross - Big Harpoonfish</v>
      </c>
      <c r="C130" s="269"/>
      <c r="D130" s="269"/>
      <c r="E130" s="269"/>
      <c r="F130" s="269"/>
      <c r="G130" s="270"/>
      <c r="H130" s="271" t="s">
        <v>589</v>
      </c>
      <c r="I130" s="269"/>
      <c r="J130" s="270"/>
      <c r="K130" s="272">
        <f t="shared" si="4"/>
        <v>10</v>
      </c>
      <c r="L130" s="271">
        <f t="shared" si="30"/>
        <v>10</v>
      </c>
      <c r="M130" s="269"/>
      <c r="N130" s="270"/>
      <c r="O130" s="273">
        <f t="shared" si="31"/>
        <v>2</v>
      </c>
      <c r="P130" s="269"/>
      <c r="Q130" s="270"/>
      <c r="R130" s="274">
        <f t="shared" si="7"/>
        <v>2</v>
      </c>
      <c r="S130" s="269"/>
      <c r="T130" s="275"/>
      <c r="U130" s="276"/>
      <c r="V130" s="252"/>
      <c r="W130" s="285" t="s">
        <v>289</v>
      </c>
      <c r="X130" s="269"/>
      <c r="Y130" s="269"/>
      <c r="Z130" s="269"/>
      <c r="AA130" s="269"/>
      <c r="AB130" s="281"/>
      <c r="AC130" s="280">
        <v>9.2282566E7</v>
      </c>
      <c r="AD130" s="269"/>
      <c r="AE130" s="269"/>
      <c r="AF130" s="281"/>
      <c r="AG130" s="289" t="s">
        <v>657</v>
      </c>
      <c r="AH130" s="287"/>
      <c r="AI130" s="287"/>
      <c r="AJ130" s="287"/>
      <c r="AK130" s="287"/>
      <c r="AL130" s="287"/>
      <c r="AM130" s="287"/>
      <c r="AN130" s="287"/>
      <c r="AO130" s="287"/>
      <c r="AP130" s="287"/>
      <c r="AQ130" s="288"/>
      <c r="AR130" s="252"/>
      <c r="AS130" s="252"/>
      <c r="AT130" s="252"/>
      <c r="AU130" s="252"/>
      <c r="AV130" s="252"/>
      <c r="AW130" s="252"/>
      <c r="AX130" s="252"/>
      <c r="AY130" s="252"/>
      <c r="AZ130" s="252"/>
      <c r="BA130" s="252"/>
      <c r="BB130" s="252"/>
      <c r="BC130" s="252"/>
      <c r="BD130" s="252"/>
      <c r="BE130" s="252"/>
      <c r="BF130" s="252"/>
      <c r="BG130" s="252"/>
      <c r="BH130" s="252"/>
      <c r="BI130" s="252"/>
      <c r="BJ130" s="252"/>
      <c r="BK130" s="252"/>
      <c r="BL130" s="252"/>
    </row>
    <row r="131" ht="18.75" hidden="1" customHeight="1">
      <c r="A131" s="2"/>
      <c r="B131" s="268" t="str">
        <f t="shared" si="29"/>
        <v>Tempoross - Tome of Water</v>
      </c>
      <c r="C131" s="269"/>
      <c r="D131" s="269"/>
      <c r="E131" s="269"/>
      <c r="F131" s="269"/>
      <c r="G131" s="270"/>
      <c r="H131" s="271" t="s">
        <v>589</v>
      </c>
      <c r="I131" s="269"/>
      <c r="J131" s="270"/>
      <c r="K131" s="272">
        <f t="shared" si="4"/>
        <v>10</v>
      </c>
      <c r="L131" s="271">
        <f t="shared" si="30"/>
        <v>10</v>
      </c>
      <c r="M131" s="269"/>
      <c r="N131" s="270"/>
      <c r="O131" s="273">
        <f t="shared" si="31"/>
        <v>2</v>
      </c>
      <c r="P131" s="269"/>
      <c r="Q131" s="270"/>
      <c r="R131" s="274">
        <f t="shared" si="7"/>
        <v>2</v>
      </c>
      <c r="S131" s="269"/>
      <c r="T131" s="275"/>
      <c r="U131" s="276"/>
      <c r="V131" s="252"/>
      <c r="W131" s="285" t="s">
        <v>658</v>
      </c>
      <c r="X131" s="269"/>
      <c r="Y131" s="269"/>
      <c r="Z131" s="269"/>
      <c r="AA131" s="269"/>
      <c r="AB131" s="281"/>
      <c r="AC131" s="280">
        <v>6.2289308E7</v>
      </c>
      <c r="AD131" s="269"/>
      <c r="AE131" s="269"/>
      <c r="AF131" s="281"/>
      <c r="AG131" s="289" t="s">
        <v>659</v>
      </c>
      <c r="AH131" s="287"/>
      <c r="AI131" s="287"/>
      <c r="AJ131" s="287"/>
      <c r="AK131" s="287"/>
      <c r="AL131" s="287"/>
      <c r="AM131" s="287"/>
      <c r="AN131" s="287"/>
      <c r="AO131" s="287"/>
      <c r="AP131" s="287"/>
      <c r="AQ131" s="288"/>
      <c r="AR131" s="252"/>
      <c r="AS131" s="252"/>
      <c r="AT131" s="252"/>
      <c r="AU131" s="252"/>
      <c r="AV131" s="252"/>
      <c r="AW131" s="252"/>
      <c r="AX131" s="252"/>
      <c r="AY131" s="252"/>
      <c r="AZ131" s="252"/>
      <c r="BA131" s="252"/>
      <c r="BB131" s="252"/>
      <c r="BC131" s="252"/>
      <c r="BD131" s="252"/>
      <c r="BE131" s="252"/>
      <c r="BF131" s="252"/>
      <c r="BG131" s="252"/>
      <c r="BH131" s="252"/>
      <c r="BI131" s="252"/>
      <c r="BJ131" s="252"/>
      <c r="BK131" s="252"/>
      <c r="BL131" s="252"/>
    </row>
    <row r="132" ht="18.75" hidden="1" customHeight="1">
      <c r="A132" s="2"/>
      <c r="B132" s="268" t="str">
        <f t="shared" si="29"/>
        <v>Tempoross - Dragon Harpoon</v>
      </c>
      <c r="C132" s="269"/>
      <c r="D132" s="269"/>
      <c r="E132" s="269"/>
      <c r="F132" s="269"/>
      <c r="G132" s="270"/>
      <c r="H132" s="271" t="s">
        <v>589</v>
      </c>
      <c r="I132" s="269"/>
      <c r="J132" s="270"/>
      <c r="K132" s="272">
        <f t="shared" si="4"/>
        <v>10</v>
      </c>
      <c r="L132" s="271">
        <f t="shared" si="30"/>
        <v>10</v>
      </c>
      <c r="M132" s="269"/>
      <c r="N132" s="270"/>
      <c r="O132" s="273">
        <f t="shared" si="31"/>
        <v>3</v>
      </c>
      <c r="P132" s="269"/>
      <c r="Q132" s="270"/>
      <c r="R132" s="274">
        <f t="shared" si="7"/>
        <v>3</v>
      </c>
      <c r="S132" s="269"/>
      <c r="T132" s="275"/>
      <c r="U132" s="276"/>
      <c r="V132" s="252"/>
      <c r="W132" s="285" t="s">
        <v>295</v>
      </c>
      <c r="X132" s="269"/>
      <c r="Y132" s="269"/>
      <c r="Z132" s="269"/>
      <c r="AA132" s="269"/>
      <c r="AB132" s="281"/>
      <c r="AC132" s="280">
        <v>5.2003132E7</v>
      </c>
      <c r="AD132" s="269"/>
      <c r="AE132" s="269"/>
      <c r="AF132" s="281"/>
      <c r="AG132" s="289" t="s">
        <v>660</v>
      </c>
      <c r="AH132" s="287"/>
      <c r="AI132" s="287"/>
      <c r="AJ132" s="287"/>
      <c r="AK132" s="287"/>
      <c r="AL132" s="287"/>
      <c r="AM132" s="287"/>
      <c r="AN132" s="287"/>
      <c r="AO132" s="287"/>
      <c r="AP132" s="287"/>
      <c r="AQ132" s="288"/>
      <c r="AR132" s="252"/>
      <c r="AS132" s="252"/>
      <c r="AT132" s="252"/>
      <c r="AU132" s="252"/>
      <c r="AV132" s="252"/>
      <c r="AW132" s="252"/>
      <c r="AX132" s="252"/>
      <c r="AY132" s="252"/>
      <c r="AZ132" s="252"/>
      <c r="BA132" s="252"/>
      <c r="BB132" s="252"/>
      <c r="BC132" s="252"/>
      <c r="BD132" s="252"/>
      <c r="BE132" s="252"/>
      <c r="BF132" s="252"/>
      <c r="BG132" s="252"/>
      <c r="BH132" s="252"/>
      <c r="BI132" s="252"/>
      <c r="BJ132" s="252"/>
      <c r="BK132" s="252"/>
      <c r="BL132" s="252"/>
    </row>
    <row r="133" ht="18.75" hidden="1" customHeight="1">
      <c r="A133" s="2"/>
      <c r="B133" s="268" t="str">
        <f t="shared" si="29"/>
        <v>Tempoross - Tiny Tempor</v>
      </c>
      <c r="C133" s="269"/>
      <c r="D133" s="269"/>
      <c r="E133" s="269"/>
      <c r="F133" s="269"/>
      <c r="G133" s="270"/>
      <c r="H133" s="271" t="s">
        <v>589</v>
      </c>
      <c r="I133" s="269"/>
      <c r="J133" s="270"/>
      <c r="K133" s="272">
        <f t="shared" si="4"/>
        <v>10</v>
      </c>
      <c r="L133" s="271">
        <f t="shared" si="30"/>
        <v>10</v>
      </c>
      <c r="M133" s="269"/>
      <c r="N133" s="270"/>
      <c r="O133" s="273">
        <f t="shared" si="31"/>
        <v>3</v>
      </c>
      <c r="P133" s="269"/>
      <c r="Q133" s="270"/>
      <c r="R133" s="274">
        <f t="shared" si="7"/>
        <v>3</v>
      </c>
      <c r="S133" s="269"/>
      <c r="T133" s="275"/>
      <c r="U133" s="276"/>
      <c r="V133" s="252"/>
      <c r="W133" s="285" t="s">
        <v>661</v>
      </c>
      <c r="X133" s="269"/>
      <c r="Y133" s="269"/>
      <c r="Z133" s="269"/>
      <c r="AA133" s="269"/>
      <c r="AB133" s="281"/>
      <c r="AC133" s="280">
        <v>4.6381604E7</v>
      </c>
      <c r="AD133" s="269"/>
      <c r="AE133" s="269"/>
      <c r="AF133" s="281"/>
      <c r="AG133" s="289" t="s">
        <v>662</v>
      </c>
      <c r="AH133" s="287"/>
      <c r="AI133" s="287"/>
      <c r="AJ133" s="287"/>
      <c r="AK133" s="287"/>
      <c r="AL133" s="287"/>
      <c r="AM133" s="287"/>
      <c r="AN133" s="287"/>
      <c r="AO133" s="287"/>
      <c r="AP133" s="287"/>
      <c r="AQ133" s="288"/>
      <c r="AR133" s="252"/>
      <c r="AS133" s="252"/>
      <c r="AT133" s="252"/>
      <c r="AU133" s="252"/>
      <c r="AV133" s="252"/>
      <c r="AW133" s="252"/>
      <c r="AX133" s="252"/>
      <c r="AY133" s="252"/>
      <c r="AZ133" s="252"/>
      <c r="BA133" s="252"/>
      <c r="BB133" s="252"/>
      <c r="BC133" s="252"/>
      <c r="BD133" s="252"/>
      <c r="BE133" s="252"/>
      <c r="BF133" s="252"/>
      <c r="BG133" s="252"/>
      <c r="BH133" s="252"/>
      <c r="BI133" s="252"/>
      <c r="BJ133" s="252"/>
      <c r="BK133" s="252"/>
      <c r="BL133" s="252"/>
    </row>
    <row r="134" ht="18.75" hidden="1" customHeight="1">
      <c r="A134" s="2"/>
      <c r="B134" s="268" t="str">
        <f t="shared" ref="B134:B142" si="32">$AG$8 &amp; " - " &amp; AG10</f>
        <v>Theatre of Blood - Avernic Defender Hilt</v>
      </c>
      <c r="C134" s="269"/>
      <c r="D134" s="269"/>
      <c r="E134" s="269"/>
      <c r="F134" s="269"/>
      <c r="G134" s="270"/>
      <c r="H134" s="271" t="s">
        <v>603</v>
      </c>
      <c r="I134" s="269"/>
      <c r="J134" s="270"/>
      <c r="K134" s="272">
        <f t="shared" si="4"/>
        <v>20</v>
      </c>
      <c r="L134" s="271">
        <f t="shared" ref="L134:L142" si="33">$AP$8</f>
        <v>4</v>
      </c>
      <c r="M134" s="269"/>
      <c r="N134" s="270"/>
      <c r="O134" s="273">
        <f t="shared" ref="O134:O142" si="34">AO10</f>
        <v>1</v>
      </c>
      <c r="P134" s="269"/>
      <c r="Q134" s="270"/>
      <c r="R134" s="274">
        <f t="shared" si="7"/>
        <v>5</v>
      </c>
      <c r="S134" s="269"/>
      <c r="T134" s="275"/>
      <c r="U134" s="276"/>
      <c r="V134" s="252"/>
      <c r="W134" s="285" t="s">
        <v>284</v>
      </c>
      <c r="X134" s="269"/>
      <c r="Y134" s="269"/>
      <c r="Z134" s="269"/>
      <c r="AA134" s="269"/>
      <c r="AB134" s="281"/>
      <c r="AC134" s="280">
        <v>3.8330501E7</v>
      </c>
      <c r="AD134" s="269"/>
      <c r="AE134" s="269"/>
      <c r="AF134" s="281"/>
      <c r="AG134" s="289" t="s">
        <v>663</v>
      </c>
      <c r="AH134" s="287"/>
      <c r="AI134" s="287"/>
      <c r="AJ134" s="287"/>
      <c r="AK134" s="287"/>
      <c r="AL134" s="287"/>
      <c r="AM134" s="287"/>
      <c r="AN134" s="287"/>
      <c r="AO134" s="287"/>
      <c r="AP134" s="287"/>
      <c r="AQ134" s="288"/>
      <c r="AR134" s="252"/>
      <c r="AS134" s="252"/>
      <c r="AT134" s="252"/>
      <c r="AU134" s="252"/>
      <c r="AV134" s="252"/>
      <c r="AW134" s="252"/>
      <c r="AX134" s="252"/>
      <c r="AY134" s="252"/>
      <c r="AZ134" s="252"/>
      <c r="BA134" s="252"/>
      <c r="BB134" s="252"/>
      <c r="BC134" s="252"/>
      <c r="BD134" s="252"/>
      <c r="BE134" s="252"/>
      <c r="BF134" s="252"/>
      <c r="BG134" s="252"/>
      <c r="BH134" s="252"/>
      <c r="BI134" s="252"/>
      <c r="BJ134" s="252"/>
      <c r="BK134" s="252"/>
      <c r="BL134" s="252"/>
    </row>
    <row r="135" ht="18.75" hidden="1" customHeight="1">
      <c r="A135" s="2"/>
      <c r="B135" s="268" t="str">
        <f t="shared" si="32"/>
        <v>Theatre of Blood - Ghrazi Rapier</v>
      </c>
      <c r="C135" s="269"/>
      <c r="D135" s="269"/>
      <c r="E135" s="269"/>
      <c r="F135" s="269"/>
      <c r="G135" s="270"/>
      <c r="H135" s="271" t="s">
        <v>603</v>
      </c>
      <c r="I135" s="269"/>
      <c r="J135" s="270"/>
      <c r="K135" s="272">
        <f t="shared" si="4"/>
        <v>20</v>
      </c>
      <c r="L135" s="271">
        <f t="shared" si="33"/>
        <v>4</v>
      </c>
      <c r="M135" s="269"/>
      <c r="N135" s="270"/>
      <c r="O135" s="273">
        <f t="shared" si="34"/>
        <v>2</v>
      </c>
      <c r="P135" s="269"/>
      <c r="Q135" s="270"/>
      <c r="R135" s="274">
        <f t="shared" si="7"/>
        <v>10</v>
      </c>
      <c r="S135" s="269"/>
      <c r="T135" s="275"/>
      <c r="U135" s="276"/>
      <c r="V135" s="252"/>
      <c r="W135" s="285" t="s">
        <v>271</v>
      </c>
      <c r="X135" s="269"/>
      <c r="Y135" s="269"/>
      <c r="Z135" s="269"/>
      <c r="AA135" s="269"/>
      <c r="AB135" s="281"/>
      <c r="AC135" s="280">
        <v>2.8738473E7</v>
      </c>
      <c r="AD135" s="269"/>
      <c r="AE135" s="269"/>
      <c r="AF135" s="281"/>
      <c r="AG135" s="289" t="s">
        <v>664</v>
      </c>
      <c r="AH135" s="287"/>
      <c r="AI135" s="287"/>
      <c r="AJ135" s="287"/>
      <c r="AK135" s="287"/>
      <c r="AL135" s="287"/>
      <c r="AM135" s="287"/>
      <c r="AN135" s="287"/>
      <c r="AO135" s="287"/>
      <c r="AP135" s="287"/>
      <c r="AQ135" s="288"/>
      <c r="AR135" s="252"/>
      <c r="AS135" s="252"/>
      <c r="AT135" s="252"/>
      <c r="AU135" s="252"/>
      <c r="AV135" s="252"/>
      <c r="AW135" s="252"/>
      <c r="AX135" s="252"/>
      <c r="AY135" s="252"/>
      <c r="AZ135" s="252"/>
      <c r="BA135" s="252"/>
      <c r="BB135" s="252"/>
      <c r="BC135" s="252"/>
      <c r="BD135" s="252"/>
      <c r="BE135" s="252"/>
      <c r="BF135" s="252"/>
      <c r="BG135" s="252"/>
      <c r="BH135" s="252"/>
      <c r="BI135" s="252"/>
      <c r="BJ135" s="252"/>
      <c r="BK135" s="252"/>
      <c r="BL135" s="252"/>
    </row>
    <row r="136" ht="18.75" hidden="1" customHeight="1">
      <c r="A136" s="2"/>
      <c r="B136" s="268" t="str">
        <f t="shared" si="32"/>
        <v>Theatre of Blood - Sanguinesti Staff</v>
      </c>
      <c r="C136" s="269"/>
      <c r="D136" s="269"/>
      <c r="E136" s="269"/>
      <c r="F136" s="269"/>
      <c r="G136" s="270"/>
      <c r="H136" s="271" t="s">
        <v>603</v>
      </c>
      <c r="I136" s="269"/>
      <c r="J136" s="270"/>
      <c r="K136" s="272">
        <f t="shared" si="4"/>
        <v>20</v>
      </c>
      <c r="L136" s="271">
        <f t="shared" si="33"/>
        <v>4</v>
      </c>
      <c r="M136" s="269"/>
      <c r="N136" s="270"/>
      <c r="O136" s="273">
        <f t="shared" si="34"/>
        <v>2</v>
      </c>
      <c r="P136" s="269"/>
      <c r="Q136" s="270"/>
      <c r="R136" s="274">
        <f t="shared" si="7"/>
        <v>10</v>
      </c>
      <c r="S136" s="269"/>
      <c r="T136" s="275"/>
      <c r="U136" s="276"/>
      <c r="V136" s="252"/>
      <c r="W136" s="285" t="s">
        <v>246</v>
      </c>
      <c r="X136" s="269"/>
      <c r="Y136" s="269"/>
      <c r="Z136" s="269"/>
      <c r="AA136" s="269"/>
      <c r="AB136" s="281"/>
      <c r="AC136" s="280">
        <v>1.781376E7</v>
      </c>
      <c r="AD136" s="269"/>
      <c r="AE136" s="269"/>
      <c r="AF136" s="281"/>
      <c r="AG136" s="289" t="s">
        <v>160</v>
      </c>
      <c r="AH136" s="287"/>
      <c r="AI136" s="287"/>
      <c r="AJ136" s="287"/>
      <c r="AK136" s="287"/>
      <c r="AL136" s="287"/>
      <c r="AM136" s="287"/>
      <c r="AN136" s="287"/>
      <c r="AO136" s="287"/>
      <c r="AP136" s="287"/>
      <c r="AQ136" s="288"/>
      <c r="AR136" s="252"/>
      <c r="AS136" s="252"/>
      <c r="AT136" s="252"/>
      <c r="AU136" s="252"/>
      <c r="AV136" s="252"/>
      <c r="AW136" s="252"/>
      <c r="AX136" s="252"/>
      <c r="AY136" s="252"/>
      <c r="AZ136" s="252"/>
      <c r="BA136" s="252"/>
      <c r="BB136" s="252"/>
      <c r="BC136" s="252"/>
      <c r="BD136" s="252"/>
      <c r="BE136" s="252"/>
      <c r="BF136" s="252"/>
      <c r="BG136" s="252"/>
      <c r="BH136" s="252"/>
      <c r="BI136" s="252"/>
      <c r="BJ136" s="252"/>
      <c r="BK136" s="252"/>
      <c r="BL136" s="252"/>
    </row>
    <row r="137" ht="18.75" hidden="1" customHeight="1">
      <c r="A137" s="2"/>
      <c r="B137" s="268" t="str">
        <f t="shared" si="32"/>
        <v>Theatre of Blood - Justiciar Piece (any)</v>
      </c>
      <c r="C137" s="269"/>
      <c r="D137" s="269"/>
      <c r="E137" s="269"/>
      <c r="F137" s="269"/>
      <c r="G137" s="270"/>
      <c r="H137" s="271" t="s">
        <v>603</v>
      </c>
      <c r="I137" s="269"/>
      <c r="J137" s="270"/>
      <c r="K137" s="272">
        <f t="shared" si="4"/>
        <v>20</v>
      </c>
      <c r="L137" s="271">
        <f t="shared" si="33"/>
        <v>4</v>
      </c>
      <c r="M137" s="269"/>
      <c r="N137" s="270"/>
      <c r="O137" s="273">
        <f t="shared" si="34"/>
        <v>2</v>
      </c>
      <c r="P137" s="269"/>
      <c r="Q137" s="270"/>
      <c r="R137" s="274">
        <f t="shared" si="7"/>
        <v>10</v>
      </c>
      <c r="S137" s="269"/>
      <c r="T137" s="275"/>
      <c r="U137" s="290"/>
      <c r="V137" s="291"/>
      <c r="W137" s="285" t="s">
        <v>278</v>
      </c>
      <c r="X137" s="269"/>
      <c r="Y137" s="269"/>
      <c r="Z137" s="269"/>
      <c r="AA137" s="269"/>
      <c r="AB137" s="281"/>
      <c r="AC137" s="280">
        <v>1.2354065E7</v>
      </c>
      <c r="AD137" s="269"/>
      <c r="AE137" s="269"/>
      <c r="AF137" s="281"/>
      <c r="AG137" s="289" t="s">
        <v>665</v>
      </c>
      <c r="AH137" s="287"/>
      <c r="AI137" s="287"/>
      <c r="AJ137" s="287"/>
      <c r="AK137" s="287"/>
      <c r="AL137" s="287"/>
      <c r="AM137" s="287"/>
      <c r="AN137" s="287"/>
      <c r="AO137" s="287"/>
      <c r="AP137" s="287"/>
      <c r="AQ137" s="288"/>
      <c r="AR137" s="291"/>
      <c r="AS137" s="291"/>
      <c r="AT137" s="291"/>
      <c r="AU137" s="291"/>
      <c r="AV137" s="291"/>
      <c r="AW137" s="291"/>
      <c r="AX137" s="291"/>
      <c r="AY137" s="291"/>
      <c r="AZ137" s="291"/>
      <c r="BA137" s="291"/>
      <c r="BB137" s="291"/>
      <c r="BC137" s="291"/>
      <c r="BD137" s="291"/>
      <c r="BE137" s="291"/>
      <c r="BF137" s="291"/>
      <c r="BG137" s="291"/>
      <c r="BH137" s="291"/>
      <c r="BI137" s="291"/>
      <c r="BJ137" s="291"/>
      <c r="BK137" s="291"/>
      <c r="BL137" s="291"/>
    </row>
    <row r="138" ht="18.75" hidden="1" customHeight="1">
      <c r="A138" s="2"/>
      <c r="B138" s="268" t="str">
        <f t="shared" si="32"/>
        <v>Theatre of Blood - Scythe of Vitur</v>
      </c>
      <c r="C138" s="269"/>
      <c r="D138" s="269"/>
      <c r="E138" s="269"/>
      <c r="F138" s="269"/>
      <c r="G138" s="270"/>
      <c r="H138" s="271" t="s">
        <v>603</v>
      </c>
      <c r="I138" s="269"/>
      <c r="J138" s="270"/>
      <c r="K138" s="272">
        <f t="shared" si="4"/>
        <v>20</v>
      </c>
      <c r="L138" s="271">
        <f t="shared" si="33"/>
        <v>4</v>
      </c>
      <c r="M138" s="269"/>
      <c r="N138" s="270"/>
      <c r="O138" s="273">
        <f t="shared" si="34"/>
        <v>3</v>
      </c>
      <c r="P138" s="269"/>
      <c r="Q138" s="270"/>
      <c r="R138" s="274">
        <f t="shared" si="7"/>
        <v>15</v>
      </c>
      <c r="S138" s="269"/>
      <c r="T138" s="275"/>
      <c r="U138" s="2"/>
      <c r="V138" s="2"/>
      <c r="W138" s="285" t="s">
        <v>264</v>
      </c>
      <c r="X138" s="269"/>
      <c r="Y138" s="269"/>
      <c r="Z138" s="269"/>
      <c r="AA138" s="269"/>
      <c r="AB138" s="281"/>
      <c r="AC138" s="280">
        <v>1.2298026E7</v>
      </c>
      <c r="AD138" s="269"/>
      <c r="AE138" s="269"/>
      <c r="AF138" s="281"/>
      <c r="AG138" s="289" t="s">
        <v>666</v>
      </c>
      <c r="AH138" s="287"/>
      <c r="AI138" s="287"/>
      <c r="AJ138" s="287"/>
      <c r="AK138" s="287"/>
      <c r="AL138" s="287"/>
      <c r="AM138" s="287"/>
      <c r="AN138" s="287"/>
      <c r="AO138" s="287"/>
      <c r="AP138" s="287"/>
      <c r="AQ138" s="288"/>
      <c r="AR138" s="2"/>
      <c r="AS138" s="2"/>
      <c r="AT138" s="2"/>
      <c r="AU138" s="2"/>
      <c r="AV138" s="2"/>
      <c r="AW138" s="2"/>
      <c r="AX138" s="2"/>
      <c r="AY138" s="2"/>
      <c r="AZ138" s="2"/>
      <c r="BA138" s="2"/>
      <c r="BB138" s="2"/>
      <c r="BC138" s="2"/>
      <c r="BD138" s="2"/>
      <c r="BE138" s="2"/>
      <c r="BF138" s="2"/>
      <c r="BG138" s="2"/>
      <c r="BH138" s="2"/>
      <c r="BI138" s="2"/>
      <c r="BJ138" s="2"/>
      <c r="BK138" s="2"/>
      <c r="BL138" s="2"/>
    </row>
    <row r="139" ht="18.75" hidden="1" customHeight="1">
      <c r="A139" s="2"/>
      <c r="B139" s="268" t="str">
        <f t="shared" si="32"/>
        <v>Theatre of Blood - Holy Ornament Kit</v>
      </c>
      <c r="C139" s="269"/>
      <c r="D139" s="269"/>
      <c r="E139" s="269"/>
      <c r="F139" s="269"/>
      <c r="G139" s="270"/>
      <c r="H139" s="271" t="s">
        <v>603</v>
      </c>
      <c r="I139" s="269"/>
      <c r="J139" s="270"/>
      <c r="K139" s="272">
        <f t="shared" si="4"/>
        <v>20</v>
      </c>
      <c r="L139" s="271">
        <f t="shared" si="33"/>
        <v>4</v>
      </c>
      <c r="M139" s="269"/>
      <c r="N139" s="270"/>
      <c r="O139" s="273">
        <f t="shared" si="34"/>
        <v>3</v>
      </c>
      <c r="P139" s="269"/>
      <c r="Q139" s="270"/>
      <c r="R139" s="274">
        <f t="shared" si="7"/>
        <v>15</v>
      </c>
      <c r="S139" s="269"/>
      <c r="T139" s="275"/>
      <c r="U139" s="2"/>
      <c r="V139" s="2"/>
      <c r="W139" s="285" t="s">
        <v>256</v>
      </c>
      <c r="X139" s="269"/>
      <c r="Y139" s="269"/>
      <c r="Z139" s="269"/>
      <c r="AA139" s="269"/>
      <c r="AB139" s="281"/>
      <c r="AC139" s="280">
        <v>5232177.0</v>
      </c>
      <c r="AD139" s="269"/>
      <c r="AE139" s="269"/>
      <c r="AF139" s="281"/>
      <c r="AG139" s="289" t="s">
        <v>667</v>
      </c>
      <c r="AH139" s="287"/>
      <c r="AI139" s="287"/>
      <c r="AJ139" s="287"/>
      <c r="AK139" s="287"/>
      <c r="AL139" s="287"/>
      <c r="AM139" s="287"/>
      <c r="AN139" s="287"/>
      <c r="AO139" s="287"/>
      <c r="AP139" s="287"/>
      <c r="AQ139" s="288"/>
      <c r="AR139" s="2"/>
      <c r="AS139" s="2"/>
      <c r="AT139" s="2"/>
      <c r="AU139" s="2"/>
      <c r="AV139" s="2"/>
      <c r="AW139" s="2"/>
      <c r="AX139" s="2"/>
      <c r="AY139" s="2"/>
      <c r="AZ139" s="2"/>
      <c r="BA139" s="2"/>
      <c r="BB139" s="2"/>
      <c r="BC139" s="2"/>
      <c r="BD139" s="2"/>
      <c r="BE139" s="2"/>
      <c r="BF139" s="2"/>
      <c r="BG139" s="2"/>
      <c r="BH139" s="2"/>
      <c r="BI139" s="2"/>
      <c r="BJ139" s="2"/>
      <c r="BK139" s="2"/>
      <c r="BL139" s="2"/>
    </row>
    <row r="140" ht="18.75" hidden="1" customHeight="1">
      <c r="A140" s="2"/>
      <c r="B140" s="268" t="str">
        <f t="shared" si="32"/>
        <v>Theatre of Blood - Sanguine Ornament Kit</v>
      </c>
      <c r="C140" s="269"/>
      <c r="D140" s="269"/>
      <c r="E140" s="269"/>
      <c r="F140" s="269"/>
      <c r="G140" s="270"/>
      <c r="H140" s="271" t="s">
        <v>603</v>
      </c>
      <c r="I140" s="269"/>
      <c r="J140" s="270"/>
      <c r="K140" s="272">
        <f t="shared" si="4"/>
        <v>20</v>
      </c>
      <c r="L140" s="271">
        <f t="shared" si="33"/>
        <v>4</v>
      </c>
      <c r="M140" s="269"/>
      <c r="N140" s="270"/>
      <c r="O140" s="273">
        <f t="shared" si="34"/>
        <v>3</v>
      </c>
      <c r="P140" s="269"/>
      <c r="Q140" s="270"/>
      <c r="R140" s="274">
        <f t="shared" si="7"/>
        <v>15</v>
      </c>
      <c r="S140" s="269"/>
      <c r="T140" s="275"/>
      <c r="U140" s="2"/>
      <c r="V140" s="2"/>
      <c r="W140" s="285" t="s">
        <v>668</v>
      </c>
      <c r="X140" s="269"/>
      <c r="Y140" s="269"/>
      <c r="Z140" s="269"/>
      <c r="AA140" s="269"/>
      <c r="AB140" s="281"/>
      <c r="AC140" s="280">
        <v>5.001835E8</v>
      </c>
      <c r="AD140" s="269"/>
      <c r="AE140" s="269"/>
      <c r="AF140" s="281"/>
      <c r="AG140" s="289" t="s">
        <v>669</v>
      </c>
      <c r="AH140" s="287"/>
      <c r="AI140" s="287"/>
      <c r="AJ140" s="287"/>
      <c r="AK140" s="287"/>
      <c r="AL140" s="287"/>
      <c r="AM140" s="287"/>
      <c r="AN140" s="287"/>
      <c r="AO140" s="287"/>
      <c r="AP140" s="287"/>
      <c r="AQ140" s="288"/>
      <c r="AR140" s="2"/>
      <c r="AS140" s="2"/>
      <c r="AT140" s="2"/>
      <c r="AU140" s="2"/>
      <c r="AV140" s="2"/>
      <c r="AW140" s="2"/>
      <c r="AX140" s="2"/>
      <c r="AY140" s="2"/>
      <c r="AZ140" s="2"/>
      <c r="BA140" s="2"/>
      <c r="BB140" s="2"/>
      <c r="BC140" s="2"/>
      <c r="BD140" s="2"/>
      <c r="BE140" s="2"/>
      <c r="BF140" s="2"/>
      <c r="BG140" s="2"/>
      <c r="BH140" s="2"/>
      <c r="BI140" s="2"/>
      <c r="BJ140" s="2"/>
      <c r="BK140" s="2"/>
      <c r="BL140" s="2"/>
    </row>
    <row r="141" ht="18.75" hidden="1" customHeight="1">
      <c r="A141" s="2"/>
      <c r="B141" s="268" t="str">
        <f t="shared" si="32"/>
        <v>Theatre of Blood - Sanguine Dust</v>
      </c>
      <c r="C141" s="269"/>
      <c r="D141" s="269"/>
      <c r="E141" s="269"/>
      <c r="F141" s="269"/>
      <c r="G141" s="270"/>
      <c r="H141" s="271" t="s">
        <v>603</v>
      </c>
      <c r="I141" s="269"/>
      <c r="J141" s="270"/>
      <c r="K141" s="272">
        <f t="shared" si="4"/>
        <v>20</v>
      </c>
      <c r="L141" s="271">
        <f t="shared" si="33"/>
        <v>4</v>
      </c>
      <c r="M141" s="269"/>
      <c r="N141" s="270"/>
      <c r="O141" s="273">
        <f t="shared" si="34"/>
        <v>3</v>
      </c>
      <c r="P141" s="269"/>
      <c r="Q141" s="270"/>
      <c r="R141" s="274">
        <f t="shared" si="7"/>
        <v>15</v>
      </c>
      <c r="S141" s="269"/>
      <c r="T141" s="275"/>
      <c r="U141" s="2"/>
      <c r="V141" s="2"/>
      <c r="W141" s="285" t="s">
        <v>670</v>
      </c>
      <c r="X141" s="269"/>
      <c r="Y141" s="269"/>
      <c r="Z141" s="269"/>
      <c r="AA141" s="269"/>
      <c r="AB141" s="281"/>
      <c r="AC141" s="280">
        <v>1.32926367E8</v>
      </c>
      <c r="AD141" s="269"/>
      <c r="AE141" s="269"/>
      <c r="AF141" s="281"/>
      <c r="AG141" s="289" t="s">
        <v>671</v>
      </c>
      <c r="AH141" s="287"/>
      <c r="AI141" s="287"/>
      <c r="AJ141" s="287"/>
      <c r="AK141" s="287"/>
      <c r="AL141" s="287"/>
      <c r="AM141" s="287"/>
      <c r="AN141" s="287"/>
      <c r="AO141" s="287"/>
      <c r="AP141" s="287"/>
      <c r="AQ141" s="288"/>
      <c r="AR141" s="2"/>
      <c r="AS141" s="2"/>
      <c r="AT141" s="2"/>
      <c r="AU141" s="2"/>
      <c r="AV141" s="2"/>
      <c r="AW141" s="2"/>
      <c r="AX141" s="2"/>
      <c r="AY141" s="2"/>
      <c r="AZ141" s="2"/>
      <c r="BA141" s="2"/>
      <c r="BB141" s="2"/>
      <c r="BC141" s="2"/>
      <c r="BD141" s="2"/>
      <c r="BE141" s="2"/>
      <c r="BF141" s="2"/>
      <c r="BG141" s="2"/>
      <c r="BH141" s="2"/>
      <c r="BI141" s="2"/>
      <c r="BJ141" s="2"/>
      <c r="BK141" s="2"/>
      <c r="BL141" s="2"/>
    </row>
    <row r="142" ht="18.75" hidden="1" customHeight="1">
      <c r="A142" s="2"/>
      <c r="B142" s="268" t="str">
        <f t="shared" si="32"/>
        <v>Theatre of Blood - Lil' Zik</v>
      </c>
      <c r="C142" s="269"/>
      <c r="D142" s="269"/>
      <c r="E142" s="269"/>
      <c r="F142" s="269"/>
      <c r="G142" s="270"/>
      <c r="H142" s="271" t="s">
        <v>603</v>
      </c>
      <c r="I142" s="269"/>
      <c r="J142" s="270"/>
      <c r="K142" s="272">
        <f t="shared" si="4"/>
        <v>20</v>
      </c>
      <c r="L142" s="271">
        <f t="shared" si="33"/>
        <v>4</v>
      </c>
      <c r="M142" s="269"/>
      <c r="N142" s="270"/>
      <c r="O142" s="273">
        <f t="shared" si="34"/>
        <v>3</v>
      </c>
      <c r="P142" s="269"/>
      <c r="Q142" s="270"/>
      <c r="R142" s="274">
        <f t="shared" si="7"/>
        <v>15</v>
      </c>
      <c r="S142" s="269"/>
      <c r="T142" s="275"/>
      <c r="U142" s="2"/>
      <c r="V142" s="2"/>
      <c r="W142" s="285" t="s">
        <v>672</v>
      </c>
      <c r="X142" s="269"/>
      <c r="Y142" s="269"/>
      <c r="Z142" s="269"/>
      <c r="AA142" s="269"/>
      <c r="AB142" s="281"/>
      <c r="AC142" s="280">
        <v>2.3263558E7</v>
      </c>
      <c r="AD142" s="269"/>
      <c r="AE142" s="269"/>
      <c r="AF142" s="281"/>
      <c r="AG142" s="289" t="s">
        <v>673</v>
      </c>
      <c r="AH142" s="287"/>
      <c r="AI142" s="287"/>
      <c r="AJ142" s="287"/>
      <c r="AK142" s="287"/>
      <c r="AL142" s="287"/>
      <c r="AM142" s="287"/>
      <c r="AN142" s="287"/>
      <c r="AO142" s="287"/>
      <c r="AP142" s="287"/>
      <c r="AQ142" s="288"/>
      <c r="AR142" s="2"/>
      <c r="AS142" s="2"/>
      <c r="AT142" s="2"/>
      <c r="AU142" s="2"/>
      <c r="AV142" s="2"/>
      <c r="AW142" s="2"/>
      <c r="AX142" s="2"/>
      <c r="AY142" s="2"/>
      <c r="AZ142" s="2"/>
      <c r="BA142" s="2"/>
      <c r="BB142" s="2"/>
      <c r="BC142" s="2"/>
      <c r="BD142" s="2"/>
      <c r="BE142" s="2"/>
      <c r="BF142" s="2"/>
      <c r="BG142" s="2"/>
      <c r="BH142" s="2"/>
      <c r="BI142" s="2"/>
      <c r="BJ142" s="2"/>
      <c r="BK142" s="2"/>
      <c r="BL142" s="2"/>
    </row>
    <row r="143" ht="18.75" hidden="1" customHeight="1">
      <c r="A143" s="2"/>
      <c r="B143" s="268" t="str">
        <f t="shared" ref="B143:B166" si="35">$AQ$12 &amp; " - " &amp; AQ14</f>
        <v>Mortimer - Basilisk Head</v>
      </c>
      <c r="C143" s="269"/>
      <c r="D143" s="269"/>
      <c r="E143" s="269"/>
      <c r="F143" s="269"/>
      <c r="G143" s="270"/>
      <c r="H143" s="271" t="s">
        <v>589</v>
      </c>
      <c r="I143" s="269"/>
      <c r="J143" s="270"/>
      <c r="K143" s="272">
        <f t="shared" si="4"/>
        <v>10</v>
      </c>
      <c r="L143" s="271">
        <f t="shared" ref="L143:L166" si="36">$AZ$12</f>
        <v>15</v>
      </c>
      <c r="M143" s="269"/>
      <c r="N143" s="270"/>
      <c r="O143" s="273">
        <f t="shared" ref="O143:O166" si="37">AY14</f>
        <v>2</v>
      </c>
      <c r="P143" s="269"/>
      <c r="Q143" s="270"/>
      <c r="R143" s="274">
        <f t="shared" si="7"/>
        <v>1.333333333</v>
      </c>
      <c r="S143" s="269"/>
      <c r="T143" s="275"/>
      <c r="U143" s="2"/>
      <c r="V143" s="2"/>
      <c r="W143" s="285" t="s">
        <v>674</v>
      </c>
      <c r="X143" s="269"/>
      <c r="Y143" s="269"/>
      <c r="Z143" s="269"/>
      <c r="AA143" s="269"/>
      <c r="AB143" s="281"/>
      <c r="AC143" s="280">
        <v>113417.0</v>
      </c>
      <c r="AD143" s="269"/>
      <c r="AE143" s="269"/>
      <c r="AF143" s="281"/>
      <c r="AG143" s="289" t="s">
        <v>675</v>
      </c>
      <c r="AH143" s="287"/>
      <c r="AI143" s="287"/>
      <c r="AJ143" s="287"/>
      <c r="AK143" s="287"/>
      <c r="AL143" s="287"/>
      <c r="AM143" s="287"/>
      <c r="AN143" s="287"/>
      <c r="AO143" s="287"/>
      <c r="AP143" s="287"/>
      <c r="AQ143" s="288"/>
      <c r="AR143" s="2"/>
      <c r="AS143" s="2"/>
      <c r="AT143" s="2"/>
      <c r="AU143" s="2"/>
      <c r="AV143" s="2"/>
      <c r="AW143" s="2"/>
      <c r="AX143" s="2"/>
      <c r="AY143" s="2"/>
      <c r="AZ143" s="2"/>
      <c r="BA143" s="2"/>
      <c r="BB143" s="2"/>
      <c r="BC143" s="2"/>
      <c r="BD143" s="2"/>
      <c r="BE143" s="2"/>
      <c r="BF143" s="2"/>
      <c r="BG143" s="2"/>
      <c r="BH143" s="2"/>
      <c r="BI143" s="2"/>
      <c r="BJ143" s="2"/>
      <c r="BK143" s="2"/>
      <c r="BL143" s="2"/>
    </row>
    <row r="144" ht="18.75" hidden="1" customHeight="1">
      <c r="A144" s="2"/>
      <c r="B144" s="268" t="str">
        <f t="shared" si="35"/>
        <v>Mortimer - Basilisk Jaw</v>
      </c>
      <c r="C144" s="269"/>
      <c r="D144" s="269"/>
      <c r="E144" s="269"/>
      <c r="F144" s="269"/>
      <c r="G144" s="270"/>
      <c r="H144" s="271" t="s">
        <v>589</v>
      </c>
      <c r="I144" s="269"/>
      <c r="J144" s="270"/>
      <c r="K144" s="272">
        <f t="shared" si="4"/>
        <v>10</v>
      </c>
      <c r="L144" s="271">
        <f t="shared" si="36"/>
        <v>15</v>
      </c>
      <c r="M144" s="269"/>
      <c r="N144" s="270"/>
      <c r="O144" s="273">
        <f t="shared" si="37"/>
        <v>3</v>
      </c>
      <c r="P144" s="269"/>
      <c r="Q144" s="270"/>
      <c r="R144" s="274">
        <f t="shared" si="7"/>
        <v>2</v>
      </c>
      <c r="S144" s="269"/>
      <c r="T144" s="275"/>
      <c r="U144" s="2"/>
      <c r="V144" s="2"/>
      <c r="W144" s="285" t="s">
        <v>477</v>
      </c>
      <c r="X144" s="269"/>
      <c r="Y144" s="269"/>
      <c r="Z144" s="269"/>
      <c r="AA144" s="269"/>
      <c r="AB144" s="281"/>
      <c r="AC144" s="280">
        <v>39390.0</v>
      </c>
      <c r="AD144" s="269"/>
      <c r="AE144" s="269"/>
      <c r="AF144" s="281"/>
      <c r="AG144" s="289" t="s">
        <v>173</v>
      </c>
      <c r="AH144" s="287"/>
      <c r="AI144" s="287"/>
      <c r="AJ144" s="287"/>
      <c r="AK144" s="287"/>
      <c r="AL144" s="287"/>
      <c r="AM144" s="287"/>
      <c r="AN144" s="287"/>
      <c r="AO144" s="287"/>
      <c r="AP144" s="287"/>
      <c r="AQ144" s="288"/>
      <c r="AR144" s="2"/>
      <c r="AS144" s="2"/>
      <c r="AT144" s="2"/>
      <c r="AU144" s="2"/>
      <c r="AV144" s="2"/>
      <c r="AW144" s="2"/>
      <c r="AX144" s="2"/>
      <c r="AY144" s="2"/>
      <c r="AZ144" s="2"/>
      <c r="BA144" s="2"/>
      <c r="BB144" s="2"/>
      <c r="BC144" s="2"/>
      <c r="BD144" s="2"/>
      <c r="BE144" s="2"/>
      <c r="BF144" s="2"/>
      <c r="BG144" s="2"/>
      <c r="BH144" s="2"/>
      <c r="BI144" s="2"/>
      <c r="BJ144" s="2"/>
      <c r="BK144" s="2"/>
      <c r="BL144" s="2"/>
    </row>
    <row r="145" ht="18.75" hidden="1" customHeight="1">
      <c r="A145" s="2"/>
      <c r="B145" s="268" t="str">
        <f t="shared" si="35"/>
        <v>Mortimer - Horn of Plenty</v>
      </c>
      <c r="C145" s="269"/>
      <c r="D145" s="269"/>
      <c r="E145" s="269"/>
      <c r="F145" s="269"/>
      <c r="G145" s="270"/>
      <c r="H145" s="271" t="s">
        <v>589</v>
      </c>
      <c r="I145" s="269"/>
      <c r="J145" s="270"/>
      <c r="K145" s="272">
        <f t="shared" si="4"/>
        <v>10</v>
      </c>
      <c r="L145" s="271">
        <f t="shared" si="36"/>
        <v>15</v>
      </c>
      <c r="M145" s="269"/>
      <c r="N145" s="270"/>
      <c r="O145" s="273">
        <f t="shared" si="37"/>
        <v>2</v>
      </c>
      <c r="P145" s="269"/>
      <c r="Q145" s="270"/>
      <c r="R145" s="274">
        <f t="shared" si="7"/>
        <v>1.333333333</v>
      </c>
      <c r="S145" s="269"/>
      <c r="T145" s="275"/>
      <c r="U145" s="2"/>
      <c r="V145" s="2"/>
      <c r="W145" s="285" t="s">
        <v>676</v>
      </c>
      <c r="X145" s="269"/>
      <c r="Y145" s="269"/>
      <c r="Z145" s="269"/>
      <c r="AA145" s="269"/>
      <c r="AB145" s="281"/>
      <c r="AC145" s="280">
        <v>1.12942983E8</v>
      </c>
      <c r="AD145" s="269"/>
      <c r="AE145" s="269"/>
      <c r="AF145" s="281"/>
      <c r="AG145" s="289" t="s">
        <v>677</v>
      </c>
      <c r="AH145" s="287"/>
      <c r="AI145" s="287"/>
      <c r="AJ145" s="287"/>
      <c r="AK145" s="287"/>
      <c r="AL145" s="287"/>
      <c r="AM145" s="287"/>
      <c r="AN145" s="287"/>
      <c r="AO145" s="287"/>
      <c r="AP145" s="287"/>
      <c r="AQ145" s="288"/>
      <c r="AR145" s="2"/>
      <c r="AS145" s="2"/>
      <c r="AT145" s="2"/>
      <c r="AU145" s="2"/>
      <c r="AV145" s="2"/>
      <c r="AW145" s="2"/>
      <c r="AX145" s="2"/>
      <c r="AY145" s="2"/>
      <c r="AZ145" s="2"/>
      <c r="BA145" s="2"/>
      <c r="BB145" s="2"/>
      <c r="BC145" s="2"/>
      <c r="BD145" s="2"/>
      <c r="BE145" s="2"/>
      <c r="BF145" s="2"/>
      <c r="BG145" s="2"/>
      <c r="BH145" s="2"/>
      <c r="BI145" s="2"/>
      <c r="BJ145" s="2"/>
      <c r="BK145" s="2"/>
      <c r="BL145" s="2"/>
    </row>
    <row r="146" ht="18.75" hidden="1" customHeight="1">
      <c r="A146" s="2"/>
      <c r="B146" s="268" t="str">
        <f t="shared" si="35"/>
        <v>Mortimer - Belle's Folly</v>
      </c>
      <c r="C146" s="269"/>
      <c r="D146" s="269"/>
      <c r="E146" s="269"/>
      <c r="F146" s="269"/>
      <c r="G146" s="270"/>
      <c r="H146" s="271" t="s">
        <v>589</v>
      </c>
      <c r="I146" s="269"/>
      <c r="J146" s="270"/>
      <c r="K146" s="272">
        <f t="shared" si="4"/>
        <v>10</v>
      </c>
      <c r="L146" s="271">
        <f t="shared" si="36"/>
        <v>15</v>
      </c>
      <c r="M146" s="269"/>
      <c r="N146" s="270"/>
      <c r="O146" s="273">
        <f t="shared" si="37"/>
        <v>1</v>
      </c>
      <c r="P146" s="269"/>
      <c r="Q146" s="270"/>
      <c r="R146" s="274">
        <f t="shared" si="7"/>
        <v>0.6666666667</v>
      </c>
      <c r="S146" s="269"/>
      <c r="T146" s="275"/>
      <c r="U146" s="2"/>
      <c r="V146" s="2"/>
      <c r="W146" s="285" t="s">
        <v>489</v>
      </c>
      <c r="X146" s="269"/>
      <c r="Y146" s="269"/>
      <c r="Z146" s="269"/>
      <c r="AA146" s="269"/>
      <c r="AB146" s="281"/>
      <c r="AC146" s="280">
        <v>1.22629447E8</v>
      </c>
      <c r="AD146" s="269"/>
      <c r="AE146" s="269"/>
      <c r="AF146" s="281"/>
      <c r="AG146" s="289" t="s">
        <v>678</v>
      </c>
      <c r="AH146" s="287"/>
      <c r="AI146" s="287"/>
      <c r="AJ146" s="287"/>
      <c r="AK146" s="287"/>
      <c r="AL146" s="287"/>
      <c r="AM146" s="287"/>
      <c r="AN146" s="287"/>
      <c r="AO146" s="287"/>
      <c r="AP146" s="287"/>
      <c r="AQ146" s="288"/>
      <c r="AR146" s="2"/>
      <c r="AS146" s="2"/>
      <c r="AT146" s="2"/>
      <c r="AU146" s="2"/>
      <c r="AV146" s="2"/>
      <c r="AW146" s="2"/>
      <c r="AX146" s="2"/>
      <c r="AY146" s="2"/>
      <c r="AZ146" s="2"/>
      <c r="BA146" s="2"/>
      <c r="BB146" s="2"/>
      <c r="BC146" s="2"/>
      <c r="BD146" s="2"/>
      <c r="BE146" s="2"/>
      <c r="BF146" s="2"/>
      <c r="BG146" s="2"/>
      <c r="BH146" s="2"/>
      <c r="BI146" s="2"/>
      <c r="BJ146" s="2"/>
      <c r="BK146" s="2"/>
      <c r="BL146" s="2"/>
    </row>
    <row r="147" ht="18.75" hidden="1" customHeight="1">
      <c r="A147" s="2"/>
      <c r="B147" s="268" t="str">
        <f t="shared" si="35"/>
        <v>Mortimer - Antler Guard</v>
      </c>
      <c r="C147" s="269"/>
      <c r="D147" s="269"/>
      <c r="E147" s="269"/>
      <c r="F147" s="269"/>
      <c r="G147" s="270"/>
      <c r="H147" s="271" t="s">
        <v>589</v>
      </c>
      <c r="I147" s="269"/>
      <c r="J147" s="270"/>
      <c r="K147" s="272">
        <f t="shared" si="4"/>
        <v>10</v>
      </c>
      <c r="L147" s="271">
        <f t="shared" si="36"/>
        <v>15</v>
      </c>
      <c r="M147" s="269"/>
      <c r="N147" s="270"/>
      <c r="O147" s="273">
        <f t="shared" si="37"/>
        <v>1</v>
      </c>
      <c r="P147" s="269"/>
      <c r="Q147" s="270"/>
      <c r="R147" s="274">
        <f t="shared" si="7"/>
        <v>0.6666666667</v>
      </c>
      <c r="S147" s="269"/>
      <c r="T147" s="275"/>
      <c r="U147" s="2"/>
      <c r="V147" s="2"/>
      <c r="W147" s="285" t="s">
        <v>510</v>
      </c>
      <c r="X147" s="269"/>
      <c r="Y147" s="269"/>
      <c r="Z147" s="269"/>
      <c r="AA147" s="269"/>
      <c r="AB147" s="281"/>
      <c r="AC147" s="280">
        <v>1.15415948E8</v>
      </c>
      <c r="AD147" s="269"/>
      <c r="AE147" s="269"/>
      <c r="AF147" s="281"/>
      <c r="AG147" s="289" t="s">
        <v>679</v>
      </c>
      <c r="AH147" s="287"/>
      <c r="AI147" s="287"/>
      <c r="AJ147" s="287"/>
      <c r="AK147" s="287"/>
      <c r="AL147" s="287"/>
      <c r="AM147" s="287"/>
      <c r="AN147" s="287"/>
      <c r="AO147" s="287"/>
      <c r="AP147" s="287"/>
      <c r="AQ147" s="288"/>
      <c r="AR147" s="2"/>
      <c r="AS147" s="2"/>
      <c r="AT147" s="2"/>
      <c r="AU147" s="2"/>
      <c r="AV147" s="2"/>
      <c r="AW147" s="2"/>
      <c r="AX147" s="2"/>
      <c r="AY147" s="2"/>
      <c r="AZ147" s="2"/>
      <c r="BA147" s="2"/>
      <c r="BB147" s="2"/>
      <c r="BC147" s="2"/>
      <c r="BD147" s="2"/>
      <c r="BE147" s="2"/>
      <c r="BF147" s="2"/>
      <c r="BG147" s="2"/>
      <c r="BH147" s="2"/>
      <c r="BI147" s="2"/>
      <c r="BJ147" s="2"/>
      <c r="BK147" s="2"/>
      <c r="BL147" s="2"/>
    </row>
    <row r="148" ht="18.75" hidden="1" customHeight="1">
      <c r="A148" s="2"/>
      <c r="B148" s="268" t="str">
        <f t="shared" si="35"/>
        <v>Mortimer - Warped Sceptre</v>
      </c>
      <c r="C148" s="269"/>
      <c r="D148" s="269"/>
      <c r="E148" s="269"/>
      <c r="F148" s="269"/>
      <c r="G148" s="270"/>
      <c r="H148" s="271" t="s">
        <v>589</v>
      </c>
      <c r="I148" s="269"/>
      <c r="J148" s="270"/>
      <c r="K148" s="272">
        <f t="shared" si="4"/>
        <v>10</v>
      </c>
      <c r="L148" s="271">
        <f t="shared" si="36"/>
        <v>15</v>
      </c>
      <c r="M148" s="269"/>
      <c r="N148" s="270"/>
      <c r="O148" s="273">
        <f t="shared" si="37"/>
        <v>1</v>
      </c>
      <c r="P148" s="269"/>
      <c r="Q148" s="270"/>
      <c r="R148" s="274">
        <f t="shared" si="7"/>
        <v>0.6666666667</v>
      </c>
      <c r="S148" s="269"/>
      <c r="T148" s="275"/>
      <c r="U148" s="2"/>
      <c r="V148" s="2"/>
      <c r="W148" s="285" t="s">
        <v>676</v>
      </c>
      <c r="X148" s="269"/>
      <c r="Y148" s="269"/>
      <c r="Z148" s="269"/>
      <c r="AA148" s="269"/>
      <c r="AB148" s="281"/>
      <c r="AC148" s="280">
        <v>1.12942983E8</v>
      </c>
      <c r="AD148" s="269"/>
      <c r="AE148" s="269"/>
      <c r="AF148" s="281"/>
      <c r="AG148" s="289" t="s">
        <v>677</v>
      </c>
      <c r="AH148" s="287"/>
      <c r="AI148" s="287"/>
      <c r="AJ148" s="287"/>
      <c r="AK148" s="287"/>
      <c r="AL148" s="287"/>
      <c r="AM148" s="287"/>
      <c r="AN148" s="287"/>
      <c r="AO148" s="287"/>
      <c r="AP148" s="287"/>
      <c r="AQ148" s="288"/>
      <c r="AR148" s="2"/>
      <c r="AS148" s="2"/>
      <c r="AT148" s="2"/>
      <c r="AU148" s="2"/>
      <c r="AV148" s="2"/>
      <c r="AW148" s="2"/>
      <c r="AX148" s="2"/>
      <c r="AY148" s="2"/>
      <c r="AZ148" s="2"/>
      <c r="BA148" s="2"/>
      <c r="BB148" s="2"/>
      <c r="BC148" s="2"/>
      <c r="BD148" s="2"/>
      <c r="BE148" s="2"/>
      <c r="BF148" s="2"/>
      <c r="BG148" s="2"/>
      <c r="BH148" s="2"/>
      <c r="BI148" s="2"/>
      <c r="BJ148" s="2"/>
      <c r="BK148" s="2"/>
      <c r="BL148" s="2"/>
    </row>
    <row r="149" ht="18.75" hidden="1" customHeight="1">
      <c r="A149" s="2"/>
      <c r="B149" s="268" t="str">
        <f t="shared" si="35"/>
        <v>Mortimer - Black Mask</v>
      </c>
      <c r="C149" s="269"/>
      <c r="D149" s="269"/>
      <c r="E149" s="269"/>
      <c r="F149" s="269"/>
      <c r="G149" s="270"/>
      <c r="H149" s="271" t="s">
        <v>589</v>
      </c>
      <c r="I149" s="269"/>
      <c r="J149" s="270"/>
      <c r="K149" s="272">
        <f t="shared" si="4"/>
        <v>10</v>
      </c>
      <c r="L149" s="271">
        <f t="shared" si="36"/>
        <v>15</v>
      </c>
      <c r="M149" s="269"/>
      <c r="N149" s="270"/>
      <c r="O149" s="273">
        <f t="shared" si="37"/>
        <v>1</v>
      </c>
      <c r="P149" s="269"/>
      <c r="Q149" s="270"/>
      <c r="R149" s="274">
        <f t="shared" si="7"/>
        <v>0.6666666667</v>
      </c>
      <c r="S149" s="269"/>
      <c r="T149" s="275"/>
      <c r="U149" s="2"/>
      <c r="V149" s="2"/>
      <c r="W149" s="285" t="s">
        <v>516</v>
      </c>
      <c r="X149" s="269"/>
      <c r="Y149" s="269"/>
      <c r="Z149" s="269"/>
      <c r="AA149" s="269"/>
      <c r="AB149" s="281"/>
      <c r="AC149" s="280">
        <v>9.2332758E7</v>
      </c>
      <c r="AD149" s="269"/>
      <c r="AE149" s="269"/>
      <c r="AF149" s="281"/>
      <c r="AG149" s="289" t="s">
        <v>680</v>
      </c>
      <c r="AH149" s="287"/>
      <c r="AI149" s="287"/>
      <c r="AJ149" s="287"/>
      <c r="AK149" s="287"/>
      <c r="AL149" s="287"/>
      <c r="AM149" s="287"/>
      <c r="AN149" s="287"/>
      <c r="AO149" s="287"/>
      <c r="AP149" s="287"/>
      <c r="AQ149" s="288"/>
      <c r="AR149" s="2"/>
      <c r="AS149" s="2"/>
      <c r="AT149" s="2"/>
      <c r="AU149" s="2"/>
      <c r="AV149" s="2"/>
      <c r="AW149" s="2"/>
      <c r="AX149" s="2"/>
      <c r="AY149" s="2"/>
      <c r="AZ149" s="2"/>
      <c r="BA149" s="2"/>
      <c r="BB149" s="2"/>
      <c r="BC149" s="2"/>
      <c r="BD149" s="2"/>
      <c r="BE149" s="2"/>
      <c r="BF149" s="2"/>
      <c r="BG149" s="2"/>
      <c r="BH149" s="2"/>
      <c r="BI149" s="2"/>
      <c r="BJ149" s="2"/>
      <c r="BK149" s="2"/>
      <c r="BL149" s="2"/>
    </row>
    <row r="150" ht="18.75" hidden="1" customHeight="1">
      <c r="A150" s="2"/>
      <c r="B150" s="268" t="str">
        <f t="shared" si="35"/>
        <v>Mortimer - Leaf-bladed Sword</v>
      </c>
      <c r="C150" s="269"/>
      <c r="D150" s="269"/>
      <c r="E150" s="269"/>
      <c r="F150" s="269"/>
      <c r="G150" s="270"/>
      <c r="H150" s="271" t="s">
        <v>589</v>
      </c>
      <c r="I150" s="269"/>
      <c r="J150" s="270"/>
      <c r="K150" s="272">
        <f t="shared" si="4"/>
        <v>10</v>
      </c>
      <c r="L150" s="271">
        <f t="shared" si="36"/>
        <v>15</v>
      </c>
      <c r="M150" s="269"/>
      <c r="N150" s="270"/>
      <c r="O150" s="273">
        <f t="shared" si="37"/>
        <v>1</v>
      </c>
      <c r="P150" s="269"/>
      <c r="Q150" s="270"/>
      <c r="R150" s="274">
        <f t="shared" si="7"/>
        <v>0.6666666667</v>
      </c>
      <c r="S150" s="269"/>
      <c r="T150" s="275"/>
      <c r="U150" s="2"/>
      <c r="V150" s="2"/>
      <c r="W150" s="285" t="s">
        <v>500</v>
      </c>
      <c r="X150" s="269"/>
      <c r="Y150" s="269"/>
      <c r="Z150" s="269"/>
      <c r="AA150" s="269"/>
      <c r="AB150" s="281"/>
      <c r="AC150" s="280">
        <v>7.6378201E7</v>
      </c>
      <c r="AD150" s="269"/>
      <c r="AE150" s="269"/>
      <c r="AF150" s="281"/>
      <c r="AG150" s="289" t="s">
        <v>681</v>
      </c>
      <c r="AH150" s="287"/>
      <c r="AI150" s="287"/>
      <c r="AJ150" s="287"/>
      <c r="AK150" s="287"/>
      <c r="AL150" s="287"/>
      <c r="AM150" s="287"/>
      <c r="AN150" s="287"/>
      <c r="AO150" s="287"/>
      <c r="AP150" s="287"/>
      <c r="AQ150" s="288"/>
      <c r="AR150" s="2"/>
      <c r="AS150" s="2"/>
      <c r="AT150" s="2"/>
      <c r="AU150" s="2"/>
      <c r="AV150" s="2"/>
      <c r="AW150" s="2"/>
      <c r="AX150" s="2"/>
      <c r="AY150" s="2"/>
      <c r="AZ150" s="2"/>
      <c r="BA150" s="2"/>
      <c r="BB150" s="2"/>
      <c r="BC150" s="2"/>
      <c r="BD150" s="2"/>
      <c r="BE150" s="2"/>
      <c r="BF150" s="2"/>
      <c r="BG150" s="2"/>
      <c r="BH150" s="2"/>
      <c r="BI150" s="2"/>
      <c r="BJ150" s="2"/>
      <c r="BK150" s="2"/>
      <c r="BL150" s="2"/>
    </row>
    <row r="151" ht="18.75" hidden="1" customHeight="1">
      <c r="A151" s="2"/>
      <c r="B151" s="268" t="str">
        <f t="shared" si="35"/>
        <v>Mortimer - Leaf-bladed Battleaxe</v>
      </c>
      <c r="C151" s="269"/>
      <c r="D151" s="269"/>
      <c r="E151" s="269"/>
      <c r="F151" s="269"/>
      <c r="G151" s="270"/>
      <c r="H151" s="271" t="s">
        <v>589</v>
      </c>
      <c r="I151" s="269"/>
      <c r="J151" s="270"/>
      <c r="K151" s="272">
        <f t="shared" si="4"/>
        <v>10</v>
      </c>
      <c r="L151" s="271">
        <f t="shared" si="36"/>
        <v>15</v>
      </c>
      <c r="M151" s="269"/>
      <c r="N151" s="270"/>
      <c r="O151" s="273">
        <f t="shared" si="37"/>
        <v>1</v>
      </c>
      <c r="P151" s="269"/>
      <c r="Q151" s="270"/>
      <c r="R151" s="274">
        <f t="shared" si="7"/>
        <v>0.6666666667</v>
      </c>
      <c r="S151" s="269"/>
      <c r="T151" s="275"/>
      <c r="U151" s="2"/>
      <c r="V151" s="2"/>
      <c r="W151" s="285" t="s">
        <v>682</v>
      </c>
      <c r="X151" s="269"/>
      <c r="Y151" s="269"/>
      <c r="Z151" s="269"/>
      <c r="AA151" s="269"/>
      <c r="AB151" s="281"/>
      <c r="AC151" s="280">
        <v>3.4168508E7</v>
      </c>
      <c r="AD151" s="269"/>
      <c r="AE151" s="269"/>
      <c r="AF151" s="281"/>
      <c r="AG151" s="289" t="s">
        <v>683</v>
      </c>
      <c r="AH151" s="287"/>
      <c r="AI151" s="287"/>
      <c r="AJ151" s="287"/>
      <c r="AK151" s="287"/>
      <c r="AL151" s="287"/>
      <c r="AM151" s="287"/>
      <c r="AN151" s="287"/>
      <c r="AO151" s="287"/>
      <c r="AP151" s="287"/>
      <c r="AQ151" s="288"/>
      <c r="AR151" s="2"/>
      <c r="AS151" s="2"/>
      <c r="AT151" s="2"/>
      <c r="AU151" s="2"/>
      <c r="AV151" s="2"/>
      <c r="AW151" s="2"/>
      <c r="AX151" s="2"/>
      <c r="AY151" s="2"/>
      <c r="AZ151" s="2"/>
      <c r="BA151" s="2"/>
      <c r="BB151" s="2"/>
      <c r="BC151" s="2"/>
      <c r="BD151" s="2"/>
      <c r="BE151" s="2"/>
      <c r="BF151" s="2"/>
      <c r="BG151" s="2"/>
      <c r="BH151" s="2"/>
      <c r="BI151" s="2"/>
      <c r="BJ151" s="2"/>
      <c r="BK151" s="2"/>
      <c r="BL151" s="2"/>
    </row>
    <row r="152" ht="18.75" hidden="1" customHeight="1">
      <c r="A152" s="2"/>
      <c r="B152" s="268" t="str">
        <f t="shared" si="35"/>
        <v>Mortimer - Kurask Head</v>
      </c>
      <c r="C152" s="269"/>
      <c r="D152" s="269"/>
      <c r="E152" s="269"/>
      <c r="F152" s="269"/>
      <c r="G152" s="270"/>
      <c r="H152" s="271" t="s">
        <v>589</v>
      </c>
      <c r="I152" s="269"/>
      <c r="J152" s="270"/>
      <c r="K152" s="272">
        <f t="shared" si="4"/>
        <v>10</v>
      </c>
      <c r="L152" s="271">
        <f t="shared" si="36"/>
        <v>15</v>
      </c>
      <c r="M152" s="269"/>
      <c r="N152" s="270"/>
      <c r="O152" s="273">
        <f t="shared" si="37"/>
        <v>2</v>
      </c>
      <c r="P152" s="269"/>
      <c r="Q152" s="270"/>
      <c r="R152" s="274">
        <f t="shared" si="7"/>
        <v>1.333333333</v>
      </c>
      <c r="S152" s="269"/>
      <c r="T152" s="275"/>
      <c r="U152" s="2"/>
      <c r="V152" s="2"/>
      <c r="W152" s="285" t="s">
        <v>684</v>
      </c>
      <c r="X152" s="269"/>
      <c r="Y152" s="269"/>
      <c r="Z152" s="269"/>
      <c r="AA152" s="269"/>
      <c r="AB152" s="281"/>
      <c r="AC152" s="280">
        <v>2.4707729E7</v>
      </c>
      <c r="AD152" s="269"/>
      <c r="AE152" s="269"/>
      <c r="AF152" s="281"/>
      <c r="AG152" s="289" t="s">
        <v>685</v>
      </c>
      <c r="AH152" s="287"/>
      <c r="AI152" s="287"/>
      <c r="AJ152" s="287"/>
      <c r="AK152" s="287"/>
      <c r="AL152" s="287"/>
      <c r="AM152" s="287"/>
      <c r="AN152" s="287"/>
      <c r="AO152" s="287"/>
      <c r="AP152" s="287"/>
      <c r="AQ152" s="288"/>
      <c r="AR152" s="2"/>
      <c r="AS152" s="2"/>
      <c r="AT152" s="2"/>
      <c r="AU152" s="2"/>
      <c r="AV152" s="2"/>
      <c r="AW152" s="2"/>
      <c r="AX152" s="2"/>
      <c r="AY152" s="2"/>
      <c r="AZ152" s="2"/>
      <c r="BA152" s="2"/>
      <c r="BB152" s="2"/>
      <c r="BC152" s="2"/>
      <c r="BD152" s="2"/>
      <c r="BE152" s="2"/>
      <c r="BF152" s="2"/>
      <c r="BG152" s="2"/>
      <c r="BH152" s="2"/>
      <c r="BI152" s="2"/>
      <c r="BJ152" s="2"/>
      <c r="BK152" s="2"/>
      <c r="BL152" s="2"/>
    </row>
    <row r="153" ht="18.75" hidden="1" customHeight="1">
      <c r="A153" s="2"/>
      <c r="B153" s="268" t="str">
        <f t="shared" si="35"/>
        <v>Mortimer - Blood Shard</v>
      </c>
      <c r="C153" s="269"/>
      <c r="D153" s="269"/>
      <c r="E153" s="269"/>
      <c r="F153" s="269"/>
      <c r="G153" s="270"/>
      <c r="H153" s="271" t="s">
        <v>589</v>
      </c>
      <c r="I153" s="269"/>
      <c r="J153" s="270"/>
      <c r="K153" s="272">
        <f t="shared" si="4"/>
        <v>10</v>
      </c>
      <c r="L153" s="271">
        <f t="shared" si="36"/>
        <v>15</v>
      </c>
      <c r="M153" s="269"/>
      <c r="N153" s="270"/>
      <c r="O153" s="273">
        <f t="shared" si="37"/>
        <v>1</v>
      </c>
      <c r="P153" s="269"/>
      <c r="Q153" s="270"/>
      <c r="R153" s="274">
        <f t="shared" si="7"/>
        <v>0.6666666667</v>
      </c>
      <c r="S153" s="269"/>
      <c r="T153" s="275"/>
      <c r="U153" s="2"/>
      <c r="V153" s="2"/>
      <c r="W153" s="285" t="s">
        <v>686</v>
      </c>
      <c r="X153" s="269"/>
      <c r="Y153" s="269"/>
      <c r="Z153" s="269"/>
      <c r="AA153" s="269"/>
      <c r="AB153" s="281"/>
      <c r="AC153" s="280">
        <v>2.2851782E7</v>
      </c>
      <c r="AD153" s="269"/>
      <c r="AE153" s="269"/>
      <c r="AF153" s="281"/>
      <c r="AG153" s="289" t="s">
        <v>687</v>
      </c>
      <c r="AH153" s="287"/>
      <c r="AI153" s="287"/>
      <c r="AJ153" s="287"/>
      <c r="AK153" s="287"/>
      <c r="AL153" s="287"/>
      <c r="AM153" s="287"/>
      <c r="AN153" s="287"/>
      <c r="AO153" s="287"/>
      <c r="AP153" s="287"/>
      <c r="AQ153" s="288"/>
      <c r="AR153" s="2"/>
      <c r="AS153" s="2"/>
      <c r="AT153" s="2"/>
      <c r="AU153" s="2"/>
      <c r="AV153" s="2"/>
      <c r="AW153" s="2"/>
      <c r="AX153" s="2"/>
      <c r="AY153" s="2"/>
      <c r="AZ153" s="2"/>
      <c r="BA153" s="2"/>
      <c r="BB153" s="2"/>
      <c r="BC153" s="2"/>
      <c r="BD153" s="2"/>
      <c r="BE153" s="2"/>
      <c r="BF153" s="2"/>
      <c r="BG153" s="2"/>
      <c r="BH153" s="2"/>
      <c r="BI153" s="2"/>
      <c r="BJ153" s="2"/>
      <c r="BK153" s="2"/>
      <c r="BL153" s="2"/>
    </row>
    <row r="154" ht="18.75" hidden="1" customHeight="1">
      <c r="A154" s="2"/>
      <c r="B154" s="268" t="str">
        <f t="shared" si="35"/>
        <v>Mortimer - Aquanite Tendon</v>
      </c>
      <c r="C154" s="269"/>
      <c r="D154" s="269"/>
      <c r="E154" s="269"/>
      <c r="F154" s="269"/>
      <c r="G154" s="270"/>
      <c r="H154" s="271" t="s">
        <v>589</v>
      </c>
      <c r="I154" s="269"/>
      <c r="J154" s="270"/>
      <c r="K154" s="272">
        <f t="shared" si="4"/>
        <v>10</v>
      </c>
      <c r="L154" s="271">
        <f t="shared" si="36"/>
        <v>15</v>
      </c>
      <c r="M154" s="269"/>
      <c r="N154" s="270"/>
      <c r="O154" s="273">
        <f t="shared" si="37"/>
        <v>1</v>
      </c>
      <c r="P154" s="269"/>
      <c r="Q154" s="270"/>
      <c r="R154" s="274">
        <f t="shared" si="7"/>
        <v>0.6666666667</v>
      </c>
      <c r="S154" s="269"/>
      <c r="T154" s="275"/>
      <c r="U154" s="2"/>
      <c r="V154" s="2"/>
      <c r="W154" s="285" t="s">
        <v>688</v>
      </c>
      <c r="X154" s="269"/>
      <c r="Y154" s="269"/>
      <c r="Z154" s="269"/>
      <c r="AA154" s="269"/>
      <c r="AB154" s="281"/>
      <c r="AC154" s="280">
        <v>2.0463854E7</v>
      </c>
      <c r="AD154" s="269"/>
      <c r="AE154" s="269"/>
      <c r="AF154" s="281"/>
      <c r="AG154" s="289" t="s">
        <v>689</v>
      </c>
      <c r="AH154" s="287"/>
      <c r="AI154" s="287"/>
      <c r="AJ154" s="287"/>
      <c r="AK154" s="287"/>
      <c r="AL154" s="287"/>
      <c r="AM154" s="287"/>
      <c r="AN154" s="287"/>
      <c r="AO154" s="287"/>
      <c r="AP154" s="287"/>
      <c r="AQ154" s="288"/>
      <c r="AR154" s="2"/>
      <c r="AS154" s="2"/>
      <c r="AT154" s="2"/>
      <c r="AU154" s="2"/>
      <c r="AV154" s="2"/>
      <c r="AW154" s="2"/>
      <c r="AX154" s="2"/>
      <c r="AY154" s="2"/>
      <c r="AZ154" s="2"/>
      <c r="BA154" s="2"/>
      <c r="BB154" s="2"/>
      <c r="BC154" s="2"/>
      <c r="BD154" s="2"/>
      <c r="BE154" s="2"/>
      <c r="BF154" s="2"/>
      <c r="BG154" s="2"/>
      <c r="BH154" s="2"/>
      <c r="BI154" s="2"/>
      <c r="BJ154" s="2"/>
      <c r="BK154" s="2"/>
      <c r="BL154" s="2"/>
    </row>
    <row r="155" ht="18.75" hidden="1" customHeight="1">
      <c r="A155" s="2"/>
      <c r="B155" s="268" t="str">
        <f t="shared" si="35"/>
        <v>Mortimer - Drake's Tooth</v>
      </c>
      <c r="C155" s="269"/>
      <c r="D155" s="269"/>
      <c r="E155" s="269"/>
      <c r="F155" s="269"/>
      <c r="G155" s="270"/>
      <c r="H155" s="271" t="s">
        <v>589</v>
      </c>
      <c r="I155" s="269"/>
      <c r="J155" s="270"/>
      <c r="K155" s="272">
        <f t="shared" si="4"/>
        <v>10</v>
      </c>
      <c r="L155" s="271">
        <f t="shared" si="36"/>
        <v>15</v>
      </c>
      <c r="M155" s="269"/>
      <c r="N155" s="270"/>
      <c r="O155" s="273">
        <f t="shared" si="37"/>
        <v>2</v>
      </c>
      <c r="P155" s="269"/>
      <c r="Q155" s="270"/>
      <c r="R155" s="274">
        <f t="shared" si="7"/>
        <v>1.333333333</v>
      </c>
      <c r="S155" s="269"/>
      <c r="T155" s="275"/>
      <c r="U155" s="2"/>
      <c r="V155" s="2"/>
      <c r="W155" s="285" t="s">
        <v>690</v>
      </c>
      <c r="X155" s="269"/>
      <c r="Y155" s="269"/>
      <c r="Z155" s="269"/>
      <c r="AA155" s="269"/>
      <c r="AB155" s="281"/>
      <c r="AC155" s="280">
        <v>4968600.0</v>
      </c>
      <c r="AD155" s="269"/>
      <c r="AE155" s="269"/>
      <c r="AF155" s="281"/>
      <c r="AG155" s="289" t="s">
        <v>691</v>
      </c>
      <c r="AH155" s="287"/>
      <c r="AI155" s="287"/>
      <c r="AJ155" s="287"/>
      <c r="AK155" s="287"/>
      <c r="AL155" s="287"/>
      <c r="AM155" s="287"/>
      <c r="AN155" s="287"/>
      <c r="AO155" s="287"/>
      <c r="AP155" s="287"/>
      <c r="AQ155" s="288"/>
      <c r="AR155" s="2"/>
      <c r="AS155" s="2"/>
      <c r="AT155" s="2"/>
      <c r="AU155" s="2"/>
      <c r="AV155" s="2"/>
      <c r="AW155" s="2"/>
      <c r="AX155" s="2"/>
      <c r="AY155" s="2"/>
      <c r="AZ155" s="2"/>
      <c r="BA155" s="2"/>
      <c r="BB155" s="2"/>
      <c r="BC155" s="2"/>
      <c r="BD155" s="2"/>
      <c r="BE155" s="2"/>
      <c r="BF155" s="2"/>
      <c r="BG155" s="2"/>
      <c r="BH155" s="2"/>
      <c r="BI155" s="2"/>
      <c r="BJ155" s="2"/>
      <c r="BK155" s="2"/>
      <c r="BL155" s="2"/>
    </row>
    <row r="156" ht="18.75" hidden="1" customHeight="1">
      <c r="A156" s="2"/>
      <c r="B156" s="268" t="str">
        <f t="shared" si="35"/>
        <v>Mortimer - Drake's Claw</v>
      </c>
      <c r="C156" s="269"/>
      <c r="D156" s="269"/>
      <c r="E156" s="269"/>
      <c r="F156" s="269"/>
      <c r="G156" s="270"/>
      <c r="H156" s="271" t="s">
        <v>589</v>
      </c>
      <c r="I156" s="269"/>
      <c r="J156" s="270"/>
      <c r="K156" s="272">
        <f t="shared" si="4"/>
        <v>10</v>
      </c>
      <c r="L156" s="271">
        <f t="shared" si="36"/>
        <v>15</v>
      </c>
      <c r="M156" s="269"/>
      <c r="N156" s="270"/>
      <c r="O156" s="273">
        <f t="shared" si="37"/>
        <v>2</v>
      </c>
      <c r="P156" s="269"/>
      <c r="Q156" s="270"/>
      <c r="R156" s="274">
        <f t="shared" si="7"/>
        <v>1.333333333</v>
      </c>
      <c r="S156" s="269"/>
      <c r="T156" s="275"/>
      <c r="U156" s="2"/>
      <c r="V156" s="2"/>
      <c r="W156" s="285" t="s">
        <v>512</v>
      </c>
      <c r="X156" s="269"/>
      <c r="Y156" s="269"/>
      <c r="Z156" s="269"/>
      <c r="AA156" s="269"/>
      <c r="AB156" s="281"/>
      <c r="AC156" s="280">
        <v>3965514.0</v>
      </c>
      <c r="AD156" s="269"/>
      <c r="AE156" s="269"/>
      <c r="AF156" s="281"/>
      <c r="AG156" s="289" t="s">
        <v>218</v>
      </c>
      <c r="AH156" s="287"/>
      <c r="AI156" s="287"/>
      <c r="AJ156" s="287"/>
      <c r="AK156" s="287"/>
      <c r="AL156" s="287"/>
      <c r="AM156" s="287"/>
      <c r="AN156" s="287"/>
      <c r="AO156" s="287"/>
      <c r="AP156" s="287"/>
      <c r="AQ156" s="288"/>
      <c r="AR156" s="2"/>
      <c r="AS156" s="2"/>
      <c r="AT156" s="2"/>
      <c r="AU156" s="2"/>
      <c r="AV156" s="2"/>
      <c r="AW156" s="2"/>
      <c r="AX156" s="2"/>
      <c r="AY156" s="2"/>
      <c r="AZ156" s="2"/>
      <c r="BA156" s="2"/>
      <c r="BB156" s="2"/>
      <c r="BC156" s="2"/>
      <c r="BD156" s="2"/>
      <c r="BE156" s="2"/>
      <c r="BF156" s="2"/>
      <c r="BG156" s="2"/>
      <c r="BH156" s="2"/>
      <c r="BI156" s="2"/>
      <c r="BJ156" s="2"/>
      <c r="BK156" s="2"/>
      <c r="BL156" s="2"/>
    </row>
    <row r="157" ht="18.75" hidden="1" customHeight="1">
      <c r="A157" s="2"/>
      <c r="B157" s="268" t="str">
        <f t="shared" si="35"/>
        <v>Mortimer - Dragon Harpoon</v>
      </c>
      <c r="C157" s="269"/>
      <c r="D157" s="269"/>
      <c r="E157" s="269"/>
      <c r="F157" s="269"/>
      <c r="G157" s="270"/>
      <c r="H157" s="271" t="s">
        <v>589</v>
      </c>
      <c r="I157" s="269"/>
      <c r="J157" s="270"/>
      <c r="K157" s="272">
        <f t="shared" si="4"/>
        <v>10</v>
      </c>
      <c r="L157" s="271">
        <f t="shared" si="36"/>
        <v>15</v>
      </c>
      <c r="M157" s="269"/>
      <c r="N157" s="270"/>
      <c r="O157" s="273">
        <f t="shared" si="37"/>
        <v>3</v>
      </c>
      <c r="P157" s="269"/>
      <c r="Q157" s="270"/>
      <c r="R157" s="274">
        <f t="shared" si="7"/>
        <v>2</v>
      </c>
      <c r="S157" s="269"/>
      <c r="T157" s="275"/>
      <c r="U157" s="2"/>
      <c r="V157" s="2"/>
      <c r="W157" s="285" t="s">
        <v>692</v>
      </c>
      <c r="X157" s="269"/>
      <c r="Y157" s="269"/>
      <c r="Z157" s="269"/>
      <c r="AA157" s="269"/>
      <c r="AB157" s="281"/>
      <c r="AC157" s="280">
        <v>2543186.0</v>
      </c>
      <c r="AD157" s="269"/>
      <c r="AE157" s="269"/>
      <c r="AF157" s="281"/>
      <c r="AG157" s="289" t="s">
        <v>693</v>
      </c>
      <c r="AH157" s="287"/>
      <c r="AI157" s="287"/>
      <c r="AJ157" s="287"/>
      <c r="AK157" s="287"/>
      <c r="AL157" s="287"/>
      <c r="AM157" s="287"/>
      <c r="AN157" s="287"/>
      <c r="AO157" s="287"/>
      <c r="AP157" s="287"/>
      <c r="AQ157" s="288"/>
      <c r="AR157" s="2"/>
      <c r="AS157" s="2"/>
      <c r="AT157" s="2"/>
      <c r="AU157" s="2"/>
      <c r="AV157" s="2"/>
      <c r="AW157" s="2"/>
      <c r="AX157" s="2"/>
      <c r="AY157" s="2"/>
      <c r="AZ157" s="2"/>
      <c r="BA157" s="2"/>
      <c r="BB157" s="2"/>
      <c r="BC157" s="2"/>
      <c r="BD157" s="2"/>
      <c r="BE157" s="2"/>
      <c r="BF157" s="2"/>
      <c r="BG157" s="2"/>
      <c r="BH157" s="2"/>
      <c r="BI157" s="2"/>
      <c r="BJ157" s="2"/>
      <c r="BK157" s="2"/>
      <c r="BL157" s="2"/>
    </row>
    <row r="158" ht="18.75" hidden="1" customHeight="1">
      <c r="A158" s="2"/>
      <c r="B158" s="268" t="str">
        <f t="shared" si="35"/>
        <v>Mortimer - Dark Bow</v>
      </c>
      <c r="C158" s="269"/>
      <c r="D158" s="269"/>
      <c r="E158" s="269"/>
      <c r="F158" s="269"/>
      <c r="G158" s="270"/>
      <c r="H158" s="271" t="s">
        <v>589</v>
      </c>
      <c r="I158" s="269"/>
      <c r="J158" s="270"/>
      <c r="K158" s="272">
        <f t="shared" si="4"/>
        <v>10</v>
      </c>
      <c r="L158" s="271">
        <f t="shared" si="36"/>
        <v>15</v>
      </c>
      <c r="M158" s="269"/>
      <c r="N158" s="270"/>
      <c r="O158" s="273">
        <f t="shared" si="37"/>
        <v>2</v>
      </c>
      <c r="P158" s="269"/>
      <c r="Q158" s="270"/>
      <c r="R158" s="274">
        <f t="shared" si="7"/>
        <v>1.333333333</v>
      </c>
      <c r="S158" s="269"/>
      <c r="T158" s="275"/>
      <c r="U158" s="2"/>
      <c r="V158" s="2"/>
      <c r="W158" s="285" t="s">
        <v>694</v>
      </c>
      <c r="X158" s="269"/>
      <c r="Y158" s="269"/>
      <c r="Z158" s="269"/>
      <c r="AA158" s="269"/>
      <c r="AB158" s="281"/>
      <c r="AC158" s="280">
        <v>709993.0</v>
      </c>
      <c r="AD158" s="269"/>
      <c r="AE158" s="269"/>
      <c r="AF158" s="281"/>
      <c r="AG158" s="289" t="s">
        <v>695</v>
      </c>
      <c r="AH158" s="287"/>
      <c r="AI158" s="287"/>
      <c r="AJ158" s="287"/>
      <c r="AK158" s="287"/>
      <c r="AL158" s="287"/>
      <c r="AM158" s="287"/>
      <c r="AN158" s="287"/>
      <c r="AO158" s="287"/>
      <c r="AP158" s="287"/>
      <c r="AQ158" s="288"/>
      <c r="AR158" s="2"/>
      <c r="AS158" s="2"/>
      <c r="AT158" s="2"/>
      <c r="AU158" s="2"/>
      <c r="AV158" s="2"/>
      <c r="AW158" s="2"/>
      <c r="AX158" s="2"/>
      <c r="AY158" s="2"/>
      <c r="AZ158" s="2"/>
      <c r="BA158" s="2"/>
      <c r="BB158" s="2"/>
      <c r="BC158" s="2"/>
      <c r="BD158" s="2"/>
      <c r="BE158" s="2"/>
      <c r="BF158" s="2"/>
      <c r="BG158" s="2"/>
      <c r="BH158" s="2"/>
      <c r="BI158" s="2"/>
      <c r="BJ158" s="2"/>
      <c r="BK158" s="2"/>
      <c r="BL158" s="2"/>
    </row>
    <row r="159" ht="18.75" hidden="1" customHeight="1">
      <c r="A159" s="2"/>
      <c r="B159" s="268" t="str">
        <f t="shared" si="35"/>
        <v>Mortimer - Occult necklace</v>
      </c>
      <c r="C159" s="269"/>
      <c r="D159" s="269"/>
      <c r="E159" s="269"/>
      <c r="F159" s="269"/>
      <c r="G159" s="270"/>
      <c r="H159" s="271" t="s">
        <v>589</v>
      </c>
      <c r="I159" s="269"/>
      <c r="J159" s="270"/>
      <c r="K159" s="272">
        <f t="shared" si="4"/>
        <v>10</v>
      </c>
      <c r="L159" s="271">
        <f t="shared" si="36"/>
        <v>15</v>
      </c>
      <c r="M159" s="269"/>
      <c r="N159" s="270"/>
      <c r="O159" s="273">
        <f t="shared" si="37"/>
        <v>1</v>
      </c>
      <c r="P159" s="269"/>
      <c r="Q159" s="270"/>
      <c r="R159" s="274">
        <f t="shared" si="7"/>
        <v>0.6666666667</v>
      </c>
      <c r="S159" s="269"/>
      <c r="T159" s="275"/>
      <c r="U159" s="2"/>
      <c r="V159" s="2"/>
      <c r="W159" s="285" t="s">
        <v>439</v>
      </c>
      <c r="X159" s="269"/>
      <c r="Y159" s="269"/>
      <c r="Z159" s="269"/>
      <c r="AA159" s="269"/>
      <c r="AB159" s="281"/>
      <c r="AC159" s="280">
        <v>68830.0</v>
      </c>
      <c r="AD159" s="269"/>
      <c r="AE159" s="269"/>
      <c r="AF159" s="281"/>
      <c r="AG159" s="289" t="s">
        <v>696</v>
      </c>
      <c r="AH159" s="287"/>
      <c r="AI159" s="287"/>
      <c r="AJ159" s="287"/>
      <c r="AK159" s="287"/>
      <c r="AL159" s="287"/>
      <c r="AM159" s="287"/>
      <c r="AN159" s="287"/>
      <c r="AO159" s="287"/>
      <c r="AP159" s="287"/>
      <c r="AQ159" s="288"/>
      <c r="AR159" s="2"/>
      <c r="AS159" s="2"/>
      <c r="AT159" s="2"/>
      <c r="AU159" s="2"/>
      <c r="AV159" s="2"/>
      <c r="AW159" s="2"/>
      <c r="AX159" s="2"/>
      <c r="AY159" s="2"/>
      <c r="AZ159" s="2"/>
      <c r="BA159" s="2"/>
      <c r="BB159" s="2"/>
      <c r="BC159" s="2"/>
      <c r="BD159" s="2"/>
      <c r="BE159" s="2"/>
      <c r="BF159" s="2"/>
      <c r="BG159" s="2"/>
      <c r="BH159" s="2"/>
      <c r="BI159" s="2"/>
      <c r="BJ159" s="2"/>
      <c r="BK159" s="2"/>
      <c r="BL159" s="2"/>
    </row>
    <row r="160" ht="18.75" hidden="1" customHeight="1">
      <c r="A160" s="2"/>
      <c r="B160" s="268" t="str">
        <f t="shared" si="35"/>
        <v>Mortimer - Aranea Boots</v>
      </c>
      <c r="C160" s="269"/>
      <c r="D160" s="269"/>
      <c r="E160" s="269"/>
      <c r="F160" s="269"/>
      <c r="G160" s="270"/>
      <c r="H160" s="271" t="s">
        <v>589</v>
      </c>
      <c r="I160" s="269"/>
      <c r="J160" s="270"/>
      <c r="K160" s="272">
        <f t="shared" si="4"/>
        <v>10</v>
      </c>
      <c r="L160" s="271">
        <f t="shared" si="36"/>
        <v>15</v>
      </c>
      <c r="M160" s="269"/>
      <c r="N160" s="270"/>
      <c r="O160" s="273">
        <f t="shared" si="37"/>
        <v>2</v>
      </c>
      <c r="P160" s="269"/>
      <c r="Q160" s="270"/>
      <c r="R160" s="274">
        <f t="shared" si="7"/>
        <v>1.333333333</v>
      </c>
      <c r="S160" s="269"/>
      <c r="T160" s="275"/>
      <c r="U160" s="2"/>
      <c r="V160" s="2"/>
      <c r="W160" s="285" t="s">
        <v>697</v>
      </c>
      <c r="X160" s="269"/>
      <c r="Y160" s="269"/>
      <c r="Z160" s="269"/>
      <c r="AA160" s="269"/>
      <c r="AB160" s="281"/>
      <c r="AC160" s="280">
        <v>54073.0</v>
      </c>
      <c r="AD160" s="269"/>
      <c r="AE160" s="269"/>
      <c r="AF160" s="281"/>
      <c r="AG160" s="289" t="s">
        <v>698</v>
      </c>
      <c r="AH160" s="287"/>
      <c r="AI160" s="287"/>
      <c r="AJ160" s="287"/>
      <c r="AK160" s="287"/>
      <c r="AL160" s="287"/>
      <c r="AM160" s="287"/>
      <c r="AN160" s="287"/>
      <c r="AO160" s="287"/>
      <c r="AP160" s="287"/>
      <c r="AQ160" s="288"/>
      <c r="AR160" s="2"/>
      <c r="AS160" s="2"/>
      <c r="AT160" s="2"/>
      <c r="AU160" s="2"/>
      <c r="AV160" s="2"/>
      <c r="AW160" s="2"/>
      <c r="AX160" s="2"/>
      <c r="AY160" s="2"/>
      <c r="AZ160" s="2"/>
      <c r="BA160" s="2"/>
      <c r="BB160" s="2"/>
      <c r="BC160" s="2"/>
      <c r="BD160" s="2"/>
      <c r="BE160" s="2"/>
      <c r="BF160" s="2"/>
      <c r="BG160" s="2"/>
      <c r="BH160" s="2"/>
      <c r="BI160" s="2"/>
      <c r="BJ160" s="2"/>
      <c r="BK160" s="2"/>
      <c r="BL160" s="2"/>
    </row>
    <row r="161" ht="18.75" hidden="1" customHeight="1">
      <c r="A161" s="2"/>
      <c r="B161" s="268" t="str">
        <f t="shared" si="35"/>
        <v>Mortimer - Abyssal Whip</v>
      </c>
      <c r="C161" s="269"/>
      <c r="D161" s="269"/>
      <c r="E161" s="269"/>
      <c r="F161" s="269"/>
      <c r="G161" s="270"/>
      <c r="H161" s="271" t="s">
        <v>589</v>
      </c>
      <c r="I161" s="269"/>
      <c r="J161" s="270"/>
      <c r="K161" s="272">
        <f t="shared" si="4"/>
        <v>10</v>
      </c>
      <c r="L161" s="271">
        <f t="shared" si="36"/>
        <v>15</v>
      </c>
      <c r="M161" s="269"/>
      <c r="N161" s="270"/>
      <c r="O161" s="273">
        <f t="shared" si="37"/>
        <v>1</v>
      </c>
      <c r="P161" s="269"/>
      <c r="Q161" s="270"/>
      <c r="R161" s="274">
        <f t="shared" si="7"/>
        <v>0.6666666667</v>
      </c>
      <c r="S161" s="269"/>
      <c r="T161" s="275"/>
      <c r="U161" s="2"/>
      <c r="V161" s="2"/>
      <c r="W161" s="285" t="s">
        <v>517</v>
      </c>
      <c r="X161" s="269"/>
      <c r="Y161" s="269"/>
      <c r="Z161" s="269"/>
      <c r="AA161" s="269"/>
      <c r="AB161" s="281"/>
      <c r="AC161" s="280">
        <v>40807.0</v>
      </c>
      <c r="AD161" s="269"/>
      <c r="AE161" s="269"/>
      <c r="AF161" s="281"/>
      <c r="AG161" s="289" t="s">
        <v>198</v>
      </c>
      <c r="AH161" s="287"/>
      <c r="AI161" s="287"/>
      <c r="AJ161" s="287"/>
      <c r="AK161" s="287"/>
      <c r="AL161" s="287"/>
      <c r="AM161" s="287"/>
      <c r="AN161" s="287"/>
      <c r="AO161" s="287"/>
      <c r="AP161" s="287"/>
      <c r="AQ161" s="288"/>
      <c r="AR161" s="2"/>
      <c r="AS161" s="2"/>
      <c r="AT161" s="2"/>
      <c r="AU161" s="2"/>
      <c r="AV161" s="2"/>
      <c r="AW161" s="2"/>
      <c r="AX161" s="2"/>
      <c r="AY161" s="2"/>
      <c r="AZ161" s="2"/>
      <c r="BA161" s="2"/>
      <c r="BB161" s="2"/>
      <c r="BC161" s="2"/>
      <c r="BD161" s="2"/>
      <c r="BE161" s="2"/>
      <c r="BF161" s="2"/>
      <c r="BG161" s="2"/>
      <c r="BH161" s="2"/>
      <c r="BI161" s="2"/>
      <c r="BJ161" s="2"/>
      <c r="BK161" s="2"/>
      <c r="BL161" s="2"/>
    </row>
    <row r="162" ht="18.75" hidden="1" customHeight="1">
      <c r="A162" s="2"/>
      <c r="B162" s="268" t="str">
        <f t="shared" si="35"/>
        <v>Mortimer - Abyssal Head</v>
      </c>
      <c r="C162" s="269"/>
      <c r="D162" s="269"/>
      <c r="E162" s="269"/>
      <c r="F162" s="269"/>
      <c r="G162" s="270"/>
      <c r="H162" s="271" t="s">
        <v>589</v>
      </c>
      <c r="I162" s="269"/>
      <c r="J162" s="270"/>
      <c r="K162" s="272">
        <f t="shared" si="4"/>
        <v>10</v>
      </c>
      <c r="L162" s="271">
        <f t="shared" si="36"/>
        <v>15</v>
      </c>
      <c r="M162" s="269"/>
      <c r="N162" s="270"/>
      <c r="O162" s="273">
        <f t="shared" si="37"/>
        <v>2</v>
      </c>
      <c r="P162" s="269"/>
      <c r="Q162" s="270"/>
      <c r="R162" s="274">
        <f t="shared" si="7"/>
        <v>1.333333333</v>
      </c>
      <c r="S162" s="269"/>
      <c r="T162" s="275"/>
      <c r="U162" s="2"/>
      <c r="V162" s="2"/>
      <c r="W162" s="285" t="s">
        <v>520</v>
      </c>
      <c r="X162" s="269"/>
      <c r="Y162" s="269"/>
      <c r="Z162" s="269"/>
      <c r="AA162" s="269"/>
      <c r="AB162" s="281"/>
      <c r="AC162" s="280">
        <v>32358.0</v>
      </c>
      <c r="AD162" s="269"/>
      <c r="AE162" s="269"/>
      <c r="AF162" s="281"/>
      <c r="AG162" s="289" t="s">
        <v>699</v>
      </c>
      <c r="AH162" s="287"/>
      <c r="AI162" s="287"/>
      <c r="AJ162" s="287"/>
      <c r="AK162" s="287"/>
      <c r="AL162" s="287"/>
      <c r="AM162" s="287"/>
      <c r="AN162" s="287"/>
      <c r="AO162" s="287"/>
      <c r="AP162" s="287"/>
      <c r="AQ162" s="288"/>
      <c r="AR162" s="2"/>
      <c r="AS162" s="2"/>
      <c r="AT162" s="2"/>
      <c r="AU162" s="2"/>
      <c r="AV162" s="2"/>
      <c r="AW162" s="2"/>
      <c r="AX162" s="2"/>
      <c r="AY162" s="2"/>
      <c r="AZ162" s="2"/>
      <c r="BA162" s="2"/>
      <c r="BB162" s="2"/>
      <c r="BC162" s="2"/>
      <c r="BD162" s="2"/>
      <c r="BE162" s="2"/>
      <c r="BF162" s="2"/>
      <c r="BG162" s="2"/>
      <c r="BH162" s="2"/>
      <c r="BI162" s="2"/>
      <c r="BJ162" s="2"/>
      <c r="BK162" s="2"/>
      <c r="BL162" s="2"/>
    </row>
    <row r="163" ht="18.75" hidden="1" customHeight="1">
      <c r="A163" s="2"/>
      <c r="B163" s="268" t="str">
        <f t="shared" si="35"/>
        <v>Mortimer - Crawling Hand</v>
      </c>
      <c r="C163" s="269"/>
      <c r="D163" s="269"/>
      <c r="E163" s="269"/>
      <c r="F163" s="269"/>
      <c r="G163" s="270"/>
      <c r="H163" s="271" t="s">
        <v>589</v>
      </c>
      <c r="I163" s="269"/>
      <c r="J163" s="270"/>
      <c r="K163" s="272">
        <f t="shared" si="4"/>
        <v>10</v>
      </c>
      <c r="L163" s="271">
        <f t="shared" si="36"/>
        <v>15</v>
      </c>
      <c r="M163" s="269"/>
      <c r="N163" s="270"/>
      <c r="O163" s="273">
        <f t="shared" si="37"/>
        <v>1</v>
      </c>
      <c r="P163" s="269"/>
      <c r="Q163" s="270"/>
      <c r="R163" s="274">
        <f t="shared" si="7"/>
        <v>0.6666666667</v>
      </c>
      <c r="S163" s="269"/>
      <c r="T163" s="275"/>
      <c r="U163" s="2"/>
      <c r="V163" s="2"/>
      <c r="W163" s="285" t="s">
        <v>353</v>
      </c>
      <c r="X163" s="269"/>
      <c r="Y163" s="269"/>
      <c r="Z163" s="269"/>
      <c r="AA163" s="269"/>
      <c r="AB163" s="281"/>
      <c r="AC163" s="280">
        <v>1.6879264E7</v>
      </c>
      <c r="AD163" s="269"/>
      <c r="AE163" s="269"/>
      <c r="AF163" s="281"/>
      <c r="AG163" s="289" t="s">
        <v>130</v>
      </c>
      <c r="AH163" s="287"/>
      <c r="AI163" s="287"/>
      <c r="AJ163" s="287"/>
      <c r="AK163" s="287"/>
      <c r="AL163" s="287"/>
      <c r="AM163" s="287"/>
      <c r="AN163" s="287"/>
      <c r="AO163" s="287"/>
      <c r="AP163" s="287"/>
      <c r="AQ163" s="288"/>
      <c r="AR163" s="2"/>
      <c r="AS163" s="2"/>
      <c r="AT163" s="2"/>
      <c r="AU163" s="2"/>
      <c r="AV163" s="2"/>
      <c r="AW163" s="2"/>
      <c r="AX163" s="2"/>
      <c r="AY163" s="2"/>
      <c r="AZ163" s="2"/>
      <c r="BA163" s="2"/>
      <c r="BB163" s="2"/>
      <c r="BC163" s="2"/>
      <c r="BD163" s="2"/>
      <c r="BE163" s="2"/>
      <c r="BF163" s="2"/>
      <c r="BG163" s="2"/>
      <c r="BH163" s="2"/>
      <c r="BI163" s="2"/>
      <c r="BJ163" s="2"/>
      <c r="BK163" s="2"/>
      <c r="BL163" s="2"/>
    </row>
    <row r="164" ht="18.75" hidden="1" customHeight="1">
      <c r="A164" s="2"/>
      <c r="B164" s="268" t="str">
        <f t="shared" si="35"/>
        <v>Mortimer - Cockatrice Head</v>
      </c>
      <c r="C164" s="269"/>
      <c r="D164" s="269"/>
      <c r="E164" s="269"/>
      <c r="F164" s="269"/>
      <c r="G164" s="270"/>
      <c r="H164" s="271" t="s">
        <v>589</v>
      </c>
      <c r="I164" s="269"/>
      <c r="J164" s="270"/>
      <c r="K164" s="272">
        <f t="shared" si="4"/>
        <v>10</v>
      </c>
      <c r="L164" s="271">
        <f t="shared" si="36"/>
        <v>15</v>
      </c>
      <c r="M164" s="269"/>
      <c r="N164" s="270"/>
      <c r="O164" s="273">
        <f t="shared" si="37"/>
        <v>1</v>
      </c>
      <c r="P164" s="269"/>
      <c r="Q164" s="270"/>
      <c r="R164" s="274">
        <f t="shared" si="7"/>
        <v>0.6666666667</v>
      </c>
      <c r="S164" s="269"/>
      <c r="T164" s="275"/>
      <c r="U164" s="2"/>
      <c r="V164" s="2"/>
      <c r="W164" s="285" t="s">
        <v>382</v>
      </c>
      <c r="X164" s="269"/>
      <c r="Y164" s="269"/>
      <c r="Z164" s="269"/>
      <c r="AA164" s="269"/>
      <c r="AB164" s="281"/>
      <c r="AC164" s="280">
        <v>501331.0</v>
      </c>
      <c r="AD164" s="269"/>
      <c r="AE164" s="269"/>
      <c r="AF164" s="281"/>
      <c r="AG164" s="289" t="s">
        <v>155</v>
      </c>
      <c r="AH164" s="287"/>
      <c r="AI164" s="287"/>
      <c r="AJ164" s="287"/>
      <c r="AK164" s="287"/>
      <c r="AL164" s="287"/>
      <c r="AM164" s="287"/>
      <c r="AN164" s="287"/>
      <c r="AO164" s="287"/>
      <c r="AP164" s="287"/>
      <c r="AQ164" s="288"/>
      <c r="AR164" s="2"/>
      <c r="AS164" s="2"/>
      <c r="AT164" s="2"/>
      <c r="AU164" s="2"/>
      <c r="AV164" s="2"/>
      <c r="AW164" s="2"/>
      <c r="AX164" s="2"/>
      <c r="AY164" s="2"/>
      <c r="AZ164" s="2"/>
      <c r="BA164" s="2"/>
      <c r="BB164" s="2"/>
      <c r="BC164" s="2"/>
      <c r="BD164" s="2"/>
      <c r="BE164" s="2"/>
      <c r="BF164" s="2"/>
      <c r="BG164" s="2"/>
      <c r="BH164" s="2"/>
      <c r="BI164" s="2"/>
      <c r="BJ164" s="2"/>
      <c r="BK164" s="2"/>
      <c r="BL164" s="2"/>
    </row>
    <row r="165" ht="18.75" hidden="1" customHeight="1">
      <c r="A165" s="2"/>
      <c r="B165" s="268" t="str">
        <f t="shared" si="35"/>
        <v>Mortimer - Imbued Heart</v>
      </c>
      <c r="C165" s="269"/>
      <c r="D165" s="269"/>
      <c r="E165" s="269"/>
      <c r="F165" s="269"/>
      <c r="G165" s="270"/>
      <c r="H165" s="271" t="s">
        <v>589</v>
      </c>
      <c r="I165" s="269"/>
      <c r="J165" s="270"/>
      <c r="K165" s="272">
        <f t="shared" si="4"/>
        <v>10</v>
      </c>
      <c r="L165" s="271">
        <f t="shared" si="36"/>
        <v>15</v>
      </c>
      <c r="M165" s="269"/>
      <c r="N165" s="270"/>
      <c r="O165" s="273">
        <f t="shared" si="37"/>
        <v>5</v>
      </c>
      <c r="P165" s="269"/>
      <c r="Q165" s="270"/>
      <c r="R165" s="274">
        <f t="shared" si="7"/>
        <v>3.333333333</v>
      </c>
      <c r="S165" s="269"/>
      <c r="T165" s="275"/>
      <c r="U165" s="2"/>
      <c r="V165" s="2"/>
      <c r="W165" s="285" t="s">
        <v>375</v>
      </c>
      <c r="X165" s="269"/>
      <c r="Y165" s="269"/>
      <c r="Z165" s="269"/>
      <c r="AA165" s="269"/>
      <c r="AB165" s="281"/>
      <c r="AC165" s="280">
        <v>350513.0</v>
      </c>
      <c r="AD165" s="269"/>
      <c r="AE165" s="269"/>
      <c r="AF165" s="281"/>
      <c r="AG165" s="289" t="s">
        <v>700</v>
      </c>
      <c r="AH165" s="287"/>
      <c r="AI165" s="287"/>
      <c r="AJ165" s="287"/>
      <c r="AK165" s="287"/>
      <c r="AL165" s="287"/>
      <c r="AM165" s="287"/>
      <c r="AN165" s="287"/>
      <c r="AO165" s="287"/>
      <c r="AP165" s="287"/>
      <c r="AQ165" s="288"/>
      <c r="AR165" s="2"/>
      <c r="AS165" s="2"/>
      <c r="AT165" s="2"/>
      <c r="AU165" s="2"/>
      <c r="AV165" s="2"/>
      <c r="AW165" s="2"/>
      <c r="AX165" s="2"/>
      <c r="AY165" s="2"/>
      <c r="AZ165" s="2"/>
      <c r="BA165" s="2"/>
      <c r="BB165" s="2"/>
      <c r="BC165" s="2"/>
      <c r="BD165" s="2"/>
      <c r="BE165" s="2"/>
      <c r="BF165" s="2"/>
      <c r="BG165" s="2"/>
      <c r="BH165" s="2"/>
      <c r="BI165" s="2"/>
      <c r="BJ165" s="2"/>
      <c r="BK165" s="2"/>
      <c r="BL165" s="2"/>
    </row>
    <row r="166" ht="18.75" hidden="1" customHeight="1">
      <c r="A166" s="2"/>
      <c r="B166" s="268" t="str">
        <f t="shared" si="35"/>
        <v>Mortimer - Eternal Gem</v>
      </c>
      <c r="C166" s="269"/>
      <c r="D166" s="269"/>
      <c r="E166" s="269"/>
      <c r="F166" s="269"/>
      <c r="G166" s="270"/>
      <c r="H166" s="271" t="s">
        <v>589</v>
      </c>
      <c r="I166" s="269"/>
      <c r="J166" s="270"/>
      <c r="K166" s="272">
        <f t="shared" si="4"/>
        <v>10</v>
      </c>
      <c r="L166" s="271">
        <f t="shared" si="36"/>
        <v>15</v>
      </c>
      <c r="M166" s="269"/>
      <c r="N166" s="270"/>
      <c r="O166" s="273">
        <f t="shared" si="37"/>
        <v>5</v>
      </c>
      <c r="P166" s="269"/>
      <c r="Q166" s="270"/>
      <c r="R166" s="274">
        <f t="shared" si="7"/>
        <v>3.333333333</v>
      </c>
      <c r="S166" s="269"/>
      <c r="T166" s="275"/>
      <c r="U166" s="2"/>
      <c r="V166" s="2"/>
      <c r="W166" s="285" t="s">
        <v>369</v>
      </c>
      <c r="X166" s="269"/>
      <c r="Y166" s="269"/>
      <c r="Z166" s="269"/>
      <c r="AA166" s="269"/>
      <c r="AB166" s="281"/>
      <c r="AC166" s="280">
        <v>28897.0</v>
      </c>
      <c r="AD166" s="269"/>
      <c r="AE166" s="269"/>
      <c r="AF166" s="281"/>
      <c r="AG166" s="289" t="s">
        <v>701</v>
      </c>
      <c r="AH166" s="287"/>
      <c r="AI166" s="287"/>
      <c r="AJ166" s="287"/>
      <c r="AK166" s="287"/>
      <c r="AL166" s="287"/>
      <c r="AM166" s="287"/>
      <c r="AN166" s="287"/>
      <c r="AO166" s="287"/>
      <c r="AP166" s="287"/>
      <c r="AQ166" s="288"/>
      <c r="AR166" s="2"/>
      <c r="AS166" s="2"/>
      <c r="AT166" s="2"/>
      <c r="AU166" s="2"/>
      <c r="AV166" s="2"/>
      <c r="AW166" s="2"/>
      <c r="AX166" s="2"/>
      <c r="AY166" s="2"/>
      <c r="AZ166" s="2"/>
      <c r="BA166" s="2"/>
      <c r="BB166" s="2"/>
      <c r="BC166" s="2"/>
      <c r="BD166" s="2"/>
      <c r="BE166" s="2"/>
      <c r="BF166" s="2"/>
      <c r="BG166" s="2"/>
      <c r="BH166" s="2"/>
      <c r="BI166" s="2"/>
      <c r="BJ166" s="2"/>
      <c r="BK166" s="2"/>
      <c r="BL166" s="2"/>
    </row>
    <row r="167" ht="18.75" hidden="1" customHeight="1">
      <c r="A167" s="2"/>
      <c r="B167" s="268" t="str">
        <f t="shared" ref="B167:B172" si="38">$BA$20 &amp; " - " &amp; BA22</f>
        <v>Demonic Gorillas - Zenyte Shard</v>
      </c>
      <c r="C167" s="269"/>
      <c r="D167" s="269"/>
      <c r="E167" s="269"/>
      <c r="F167" s="269"/>
      <c r="G167" s="270"/>
      <c r="H167" s="271" t="s">
        <v>589</v>
      </c>
      <c r="I167" s="269"/>
      <c r="J167" s="270"/>
      <c r="K167" s="272">
        <f t="shared" si="4"/>
        <v>10</v>
      </c>
      <c r="L167" s="271">
        <f t="shared" ref="L167:L172" si="39">$BJ$20</f>
        <v>10</v>
      </c>
      <c r="M167" s="269"/>
      <c r="N167" s="270"/>
      <c r="O167" s="273">
        <f t="shared" ref="O167:O172" si="40">BI22</f>
        <v>2</v>
      </c>
      <c r="P167" s="269"/>
      <c r="Q167" s="270"/>
      <c r="R167" s="274">
        <f t="shared" si="7"/>
        <v>2</v>
      </c>
      <c r="S167" s="269"/>
      <c r="T167" s="275"/>
      <c r="U167" s="2"/>
      <c r="V167" s="2"/>
      <c r="W167" s="285" t="s">
        <v>363</v>
      </c>
      <c r="X167" s="269"/>
      <c r="Y167" s="269"/>
      <c r="Z167" s="269"/>
      <c r="AA167" s="269"/>
      <c r="AB167" s="281"/>
      <c r="AC167" s="280">
        <v>28857.0</v>
      </c>
      <c r="AD167" s="269"/>
      <c r="AE167" s="269"/>
      <c r="AF167" s="281"/>
      <c r="AG167" s="289" t="s">
        <v>154</v>
      </c>
      <c r="AH167" s="287"/>
      <c r="AI167" s="287"/>
      <c r="AJ167" s="287"/>
      <c r="AK167" s="287"/>
      <c r="AL167" s="287"/>
      <c r="AM167" s="287"/>
      <c r="AN167" s="287"/>
      <c r="AO167" s="287"/>
      <c r="AP167" s="287"/>
      <c r="AQ167" s="288"/>
      <c r="AR167" s="2"/>
      <c r="AS167" s="2"/>
      <c r="AT167" s="2"/>
      <c r="AU167" s="2"/>
      <c r="AV167" s="2"/>
      <c r="AW167" s="2"/>
      <c r="AX167" s="2"/>
      <c r="AY167" s="2"/>
      <c r="AZ167" s="2"/>
      <c r="BA167" s="2"/>
      <c r="BB167" s="2"/>
      <c r="BC167" s="2"/>
      <c r="BD167" s="2"/>
      <c r="BE167" s="2"/>
      <c r="BF167" s="2"/>
      <c r="BG167" s="2"/>
      <c r="BH167" s="2"/>
      <c r="BI167" s="2"/>
      <c r="BJ167" s="2"/>
      <c r="BK167" s="2"/>
      <c r="BL167" s="2"/>
    </row>
    <row r="168" ht="18.75" hidden="1" customHeight="1">
      <c r="A168" s="2"/>
      <c r="B168" s="268" t="str">
        <f t="shared" si="38"/>
        <v>Demonic Gorillas - Ballista Limbs</v>
      </c>
      <c r="C168" s="269"/>
      <c r="D168" s="269"/>
      <c r="E168" s="269"/>
      <c r="F168" s="269"/>
      <c r="G168" s="270"/>
      <c r="H168" s="271" t="s">
        <v>589</v>
      </c>
      <c r="I168" s="269"/>
      <c r="J168" s="270"/>
      <c r="K168" s="272">
        <f t="shared" si="4"/>
        <v>10</v>
      </c>
      <c r="L168" s="271">
        <f t="shared" si="39"/>
        <v>10</v>
      </c>
      <c r="M168" s="269"/>
      <c r="N168" s="270"/>
      <c r="O168" s="273">
        <f t="shared" si="40"/>
        <v>1</v>
      </c>
      <c r="P168" s="269"/>
      <c r="Q168" s="270"/>
      <c r="R168" s="274">
        <f t="shared" si="7"/>
        <v>1</v>
      </c>
      <c r="S168" s="269"/>
      <c r="T168" s="275"/>
      <c r="U168" s="2"/>
      <c r="V168" s="2"/>
      <c r="W168" s="285" t="s">
        <v>358</v>
      </c>
      <c r="X168" s="269"/>
      <c r="Y168" s="269"/>
      <c r="Z168" s="269"/>
      <c r="AA168" s="269"/>
      <c r="AB168" s="281"/>
      <c r="AC168" s="280">
        <v>27475.0</v>
      </c>
      <c r="AD168" s="269"/>
      <c r="AE168" s="269"/>
      <c r="AF168" s="281"/>
      <c r="AG168" s="289" t="s">
        <v>153</v>
      </c>
      <c r="AH168" s="287"/>
      <c r="AI168" s="287"/>
      <c r="AJ168" s="287"/>
      <c r="AK168" s="287"/>
      <c r="AL168" s="287"/>
      <c r="AM168" s="287"/>
      <c r="AN168" s="287"/>
      <c r="AO168" s="287"/>
      <c r="AP168" s="287"/>
      <c r="AQ168" s="288"/>
      <c r="AR168" s="2"/>
      <c r="AS168" s="2"/>
      <c r="AT168" s="2"/>
      <c r="AU168" s="2"/>
      <c r="AV168" s="2"/>
      <c r="AW168" s="2"/>
      <c r="AX168" s="2"/>
      <c r="AY168" s="2"/>
      <c r="AZ168" s="2"/>
      <c r="BA168" s="2"/>
      <c r="BB168" s="2"/>
      <c r="BC168" s="2"/>
      <c r="BD168" s="2"/>
      <c r="BE168" s="2"/>
      <c r="BF168" s="2"/>
      <c r="BG168" s="2"/>
      <c r="BH168" s="2"/>
      <c r="BI168" s="2"/>
      <c r="BJ168" s="2"/>
      <c r="BK168" s="2"/>
      <c r="BL168" s="2"/>
    </row>
    <row r="169" ht="18.75" hidden="1" customHeight="1">
      <c r="A169" s="2"/>
      <c r="B169" s="268" t="str">
        <f t="shared" si="38"/>
        <v>Demonic Gorillas - Ballista Spring</v>
      </c>
      <c r="C169" s="269"/>
      <c r="D169" s="269"/>
      <c r="E169" s="269"/>
      <c r="F169" s="269"/>
      <c r="G169" s="270"/>
      <c r="H169" s="271" t="s">
        <v>589</v>
      </c>
      <c r="I169" s="269"/>
      <c r="J169" s="270"/>
      <c r="K169" s="272">
        <f t="shared" si="4"/>
        <v>10</v>
      </c>
      <c r="L169" s="271">
        <f t="shared" si="39"/>
        <v>10</v>
      </c>
      <c r="M169" s="269"/>
      <c r="N169" s="270"/>
      <c r="O169" s="273">
        <f t="shared" si="40"/>
        <v>1</v>
      </c>
      <c r="P169" s="269"/>
      <c r="Q169" s="270"/>
      <c r="R169" s="274">
        <f t="shared" si="7"/>
        <v>1</v>
      </c>
      <c r="S169" s="269"/>
      <c r="T169" s="275"/>
      <c r="U169" s="2"/>
      <c r="V169" s="2"/>
      <c r="W169" s="285" t="s">
        <v>702</v>
      </c>
      <c r="X169" s="269"/>
      <c r="Y169" s="269"/>
      <c r="Z169" s="269"/>
      <c r="AA169" s="269"/>
      <c r="AB169" s="281"/>
      <c r="AC169" s="280">
        <v>6.8276042E7</v>
      </c>
      <c r="AD169" s="269"/>
      <c r="AE169" s="269"/>
      <c r="AF169" s="281"/>
      <c r="AG169" s="289" t="s">
        <v>703</v>
      </c>
      <c r="AH169" s="287"/>
      <c r="AI169" s="287"/>
      <c r="AJ169" s="287"/>
      <c r="AK169" s="287"/>
      <c r="AL169" s="287"/>
      <c r="AM169" s="287"/>
      <c r="AN169" s="287"/>
      <c r="AO169" s="287"/>
      <c r="AP169" s="287"/>
      <c r="AQ169" s="288"/>
      <c r="AR169" s="2"/>
      <c r="AS169" s="2"/>
      <c r="AT169" s="2"/>
      <c r="AU169" s="2"/>
      <c r="AV169" s="2"/>
      <c r="AW169" s="2"/>
      <c r="AX169" s="2"/>
      <c r="AY169" s="2"/>
      <c r="AZ169" s="2"/>
      <c r="BA169" s="2"/>
      <c r="BB169" s="2"/>
      <c r="BC169" s="2"/>
      <c r="BD169" s="2"/>
      <c r="BE169" s="2"/>
      <c r="BF169" s="2"/>
      <c r="BG169" s="2"/>
      <c r="BH169" s="2"/>
      <c r="BI169" s="2"/>
      <c r="BJ169" s="2"/>
      <c r="BK169" s="2"/>
      <c r="BL169" s="2"/>
    </row>
    <row r="170" ht="18.75" hidden="1" customHeight="1">
      <c r="A170" s="2"/>
      <c r="B170" s="268" t="str">
        <f t="shared" si="38"/>
        <v>Demonic Gorillas - Light Frame</v>
      </c>
      <c r="C170" s="269"/>
      <c r="D170" s="269"/>
      <c r="E170" s="269"/>
      <c r="F170" s="269"/>
      <c r="G170" s="270"/>
      <c r="H170" s="271" t="s">
        <v>589</v>
      </c>
      <c r="I170" s="269"/>
      <c r="J170" s="270"/>
      <c r="K170" s="272">
        <f t="shared" si="4"/>
        <v>10</v>
      </c>
      <c r="L170" s="271">
        <f t="shared" si="39"/>
        <v>10</v>
      </c>
      <c r="M170" s="269"/>
      <c r="N170" s="270"/>
      <c r="O170" s="273">
        <f t="shared" si="40"/>
        <v>1</v>
      </c>
      <c r="P170" s="269"/>
      <c r="Q170" s="270"/>
      <c r="R170" s="274">
        <f t="shared" si="7"/>
        <v>1</v>
      </c>
      <c r="S170" s="269"/>
      <c r="T170" s="275"/>
      <c r="U170" s="2"/>
      <c r="V170" s="2"/>
      <c r="W170" s="285" t="s">
        <v>465</v>
      </c>
      <c r="X170" s="269"/>
      <c r="Y170" s="269"/>
      <c r="Z170" s="269"/>
      <c r="AA170" s="269"/>
      <c r="AB170" s="281"/>
      <c r="AC170" s="280">
        <v>1.5768823E8</v>
      </c>
      <c r="AD170" s="269"/>
      <c r="AE170" s="269"/>
      <c r="AF170" s="281"/>
      <c r="AG170" s="289" t="s">
        <v>704</v>
      </c>
      <c r="AH170" s="287"/>
      <c r="AI170" s="287"/>
      <c r="AJ170" s="287"/>
      <c r="AK170" s="287"/>
      <c r="AL170" s="287"/>
      <c r="AM170" s="287"/>
      <c r="AN170" s="287"/>
      <c r="AO170" s="287"/>
      <c r="AP170" s="287"/>
      <c r="AQ170" s="288"/>
      <c r="AR170" s="2"/>
      <c r="AS170" s="2"/>
      <c r="AT170" s="2"/>
      <c r="AU170" s="2"/>
      <c r="AV170" s="2"/>
      <c r="AW170" s="2"/>
      <c r="AX170" s="2"/>
      <c r="AY170" s="2"/>
      <c r="AZ170" s="2"/>
      <c r="BA170" s="2"/>
      <c r="BB170" s="2"/>
      <c r="BC170" s="2"/>
      <c r="BD170" s="2"/>
      <c r="BE170" s="2"/>
      <c r="BF170" s="2"/>
      <c r="BG170" s="2"/>
      <c r="BH170" s="2"/>
      <c r="BI170" s="2"/>
      <c r="BJ170" s="2"/>
      <c r="BK170" s="2"/>
      <c r="BL170" s="2"/>
    </row>
    <row r="171" ht="18.75" hidden="1" customHeight="1">
      <c r="A171" s="2"/>
      <c r="B171" s="268" t="str">
        <f t="shared" si="38"/>
        <v>Demonic Gorillas - Heavy Frame</v>
      </c>
      <c r="C171" s="269"/>
      <c r="D171" s="269"/>
      <c r="E171" s="269"/>
      <c r="F171" s="269"/>
      <c r="G171" s="270"/>
      <c r="H171" s="271" t="s">
        <v>589</v>
      </c>
      <c r="I171" s="269"/>
      <c r="J171" s="270"/>
      <c r="K171" s="272">
        <f t="shared" si="4"/>
        <v>10</v>
      </c>
      <c r="L171" s="271">
        <f t="shared" si="39"/>
        <v>10</v>
      </c>
      <c r="M171" s="269"/>
      <c r="N171" s="270"/>
      <c r="O171" s="273">
        <f t="shared" si="40"/>
        <v>2</v>
      </c>
      <c r="P171" s="269"/>
      <c r="Q171" s="270"/>
      <c r="R171" s="274">
        <f t="shared" si="7"/>
        <v>2</v>
      </c>
      <c r="S171" s="269"/>
      <c r="T171" s="275"/>
      <c r="U171" s="2"/>
      <c r="V171" s="2"/>
      <c r="W171" s="285" t="s">
        <v>471</v>
      </c>
      <c r="X171" s="269"/>
      <c r="Y171" s="269"/>
      <c r="Z171" s="269"/>
      <c r="AA171" s="269"/>
      <c r="AB171" s="281"/>
      <c r="AC171" s="280">
        <v>4.1779146E7</v>
      </c>
      <c r="AD171" s="269"/>
      <c r="AE171" s="269"/>
      <c r="AF171" s="281"/>
      <c r="AG171" s="289" t="s">
        <v>186</v>
      </c>
      <c r="AH171" s="287"/>
      <c r="AI171" s="287"/>
      <c r="AJ171" s="287"/>
      <c r="AK171" s="287"/>
      <c r="AL171" s="287"/>
      <c r="AM171" s="287"/>
      <c r="AN171" s="287"/>
      <c r="AO171" s="287"/>
      <c r="AP171" s="287"/>
      <c r="AQ171" s="288"/>
      <c r="AR171" s="2"/>
      <c r="AS171" s="2"/>
      <c r="AT171" s="2"/>
      <c r="AU171" s="2"/>
      <c r="AV171" s="2"/>
      <c r="AW171" s="2"/>
      <c r="AX171" s="2"/>
      <c r="AY171" s="2"/>
      <c r="AZ171" s="2"/>
      <c r="BA171" s="2"/>
      <c r="BB171" s="2"/>
      <c r="BC171" s="2"/>
      <c r="BD171" s="2"/>
      <c r="BE171" s="2"/>
      <c r="BF171" s="2"/>
      <c r="BG171" s="2"/>
      <c r="BH171" s="2"/>
      <c r="BI171" s="2"/>
      <c r="BJ171" s="2"/>
      <c r="BK171" s="2"/>
      <c r="BL171" s="2"/>
    </row>
    <row r="172" ht="18.75" hidden="1" customHeight="1">
      <c r="A172" s="2"/>
      <c r="B172" s="268" t="str">
        <f t="shared" si="38"/>
        <v>Demonic Gorillas - Monkey Tail</v>
      </c>
      <c r="C172" s="269"/>
      <c r="D172" s="269"/>
      <c r="E172" s="269"/>
      <c r="F172" s="269"/>
      <c r="G172" s="270"/>
      <c r="H172" s="271" t="s">
        <v>589</v>
      </c>
      <c r="I172" s="269"/>
      <c r="J172" s="270"/>
      <c r="K172" s="272">
        <f t="shared" si="4"/>
        <v>10</v>
      </c>
      <c r="L172" s="271">
        <f t="shared" si="39"/>
        <v>10</v>
      </c>
      <c r="M172" s="269"/>
      <c r="N172" s="270"/>
      <c r="O172" s="273">
        <f t="shared" si="40"/>
        <v>2</v>
      </c>
      <c r="P172" s="269"/>
      <c r="Q172" s="270"/>
      <c r="R172" s="274">
        <f t="shared" si="7"/>
        <v>2</v>
      </c>
      <c r="S172" s="269"/>
      <c r="T172" s="275"/>
      <c r="U172" s="2"/>
      <c r="V172" s="2"/>
      <c r="W172" s="285" t="s">
        <v>705</v>
      </c>
      <c r="X172" s="269"/>
      <c r="Y172" s="269"/>
      <c r="Z172" s="269"/>
      <c r="AA172" s="269"/>
      <c r="AB172" s="281"/>
      <c r="AC172" s="280">
        <v>4.3465697E7</v>
      </c>
      <c r="AD172" s="269"/>
      <c r="AE172" s="269"/>
      <c r="AF172" s="281"/>
      <c r="AG172" s="289" t="s">
        <v>706</v>
      </c>
      <c r="AH172" s="287"/>
      <c r="AI172" s="287"/>
      <c r="AJ172" s="287"/>
      <c r="AK172" s="287"/>
      <c r="AL172" s="287"/>
      <c r="AM172" s="287"/>
      <c r="AN172" s="287"/>
      <c r="AO172" s="287"/>
      <c r="AP172" s="287"/>
      <c r="AQ172" s="288"/>
      <c r="AR172" s="2"/>
      <c r="AS172" s="2"/>
      <c r="AT172" s="2"/>
      <c r="AU172" s="2"/>
      <c r="AV172" s="2"/>
      <c r="AW172" s="2"/>
      <c r="AX172" s="2"/>
      <c r="AY172" s="2"/>
      <c r="AZ172" s="2"/>
      <c r="BA172" s="2"/>
      <c r="BB172" s="2"/>
      <c r="BC172" s="2"/>
      <c r="BD172" s="2"/>
      <c r="BE172" s="2"/>
      <c r="BF172" s="2"/>
      <c r="BG172" s="2"/>
      <c r="BH172" s="2"/>
      <c r="BI172" s="2"/>
      <c r="BJ172" s="2"/>
      <c r="BK172" s="2"/>
      <c r="BL172" s="2"/>
    </row>
    <row r="173" ht="18.75" hidden="1" customHeight="1">
      <c r="A173" s="2"/>
      <c r="B173" s="268" t="str">
        <f t="shared" ref="B173:B186" si="41">$C$17 &amp; " - " &amp; C19</f>
        <v>God Wars Dungeon - Saradomin Sword</v>
      </c>
      <c r="C173" s="269"/>
      <c r="D173" s="269"/>
      <c r="E173" s="269"/>
      <c r="F173" s="269"/>
      <c r="G173" s="270"/>
      <c r="H173" s="271" t="s">
        <v>603</v>
      </c>
      <c r="I173" s="269"/>
      <c r="J173" s="270"/>
      <c r="K173" s="272">
        <f t="shared" si="4"/>
        <v>20</v>
      </c>
      <c r="L173" s="271">
        <f t="shared" ref="L173:L186" si="42">$L$17</f>
        <v>18</v>
      </c>
      <c r="M173" s="269"/>
      <c r="N173" s="270"/>
      <c r="O173" s="273">
        <f t="shared" ref="O173:O186" si="43">K19</f>
        <v>2</v>
      </c>
      <c r="P173" s="269"/>
      <c r="Q173" s="270"/>
      <c r="R173" s="274">
        <f t="shared" si="7"/>
        <v>2.222222222</v>
      </c>
      <c r="S173" s="269"/>
      <c r="T173" s="275"/>
      <c r="U173" s="2"/>
      <c r="V173" s="2"/>
      <c r="W173" s="285" t="s">
        <v>707</v>
      </c>
      <c r="X173" s="269"/>
      <c r="Y173" s="269"/>
      <c r="Z173" s="269"/>
      <c r="AA173" s="269"/>
      <c r="AB173" s="281"/>
      <c r="AC173" s="280">
        <v>8992680.0</v>
      </c>
      <c r="AD173" s="269"/>
      <c r="AE173" s="269"/>
      <c r="AF173" s="281"/>
      <c r="AG173" s="289" t="s">
        <v>708</v>
      </c>
      <c r="AH173" s="287"/>
      <c r="AI173" s="287"/>
      <c r="AJ173" s="287"/>
      <c r="AK173" s="287"/>
      <c r="AL173" s="287"/>
      <c r="AM173" s="287"/>
      <c r="AN173" s="287"/>
      <c r="AO173" s="287"/>
      <c r="AP173" s="287"/>
      <c r="AQ173" s="288"/>
      <c r="AR173" s="2"/>
      <c r="AS173" s="2"/>
      <c r="AT173" s="2"/>
      <c r="AU173" s="2"/>
      <c r="AV173" s="2"/>
      <c r="AW173" s="2"/>
      <c r="AX173" s="2"/>
      <c r="AY173" s="2"/>
      <c r="AZ173" s="2"/>
      <c r="BA173" s="2"/>
      <c r="BB173" s="2"/>
      <c r="BC173" s="2"/>
      <c r="BD173" s="2"/>
      <c r="BE173" s="2"/>
      <c r="BF173" s="2"/>
      <c r="BG173" s="2"/>
      <c r="BH173" s="2"/>
      <c r="BI173" s="2"/>
      <c r="BJ173" s="2"/>
      <c r="BK173" s="2"/>
      <c r="BL173" s="2"/>
    </row>
    <row r="174" ht="18.75" hidden="1" customHeight="1">
      <c r="A174" s="2"/>
      <c r="B174" s="268" t="str">
        <f t="shared" si="41"/>
        <v>God Wars Dungeon - Saradomin's Light</v>
      </c>
      <c r="C174" s="269"/>
      <c r="D174" s="269"/>
      <c r="E174" s="269"/>
      <c r="F174" s="269"/>
      <c r="G174" s="270"/>
      <c r="H174" s="271" t="s">
        <v>603</v>
      </c>
      <c r="I174" s="269"/>
      <c r="J174" s="270"/>
      <c r="K174" s="272">
        <f t="shared" si="4"/>
        <v>20</v>
      </c>
      <c r="L174" s="271">
        <f t="shared" si="42"/>
        <v>18</v>
      </c>
      <c r="M174" s="269"/>
      <c r="N174" s="270"/>
      <c r="O174" s="273">
        <f t="shared" si="43"/>
        <v>2</v>
      </c>
      <c r="P174" s="269"/>
      <c r="Q174" s="270"/>
      <c r="R174" s="274">
        <f t="shared" si="7"/>
        <v>2.222222222</v>
      </c>
      <c r="S174" s="269"/>
      <c r="T174" s="275"/>
      <c r="U174" s="2"/>
      <c r="V174" s="2"/>
      <c r="W174" s="285" t="s">
        <v>709</v>
      </c>
      <c r="X174" s="269"/>
      <c r="Y174" s="269"/>
      <c r="Z174" s="269"/>
      <c r="AA174" s="269"/>
      <c r="AB174" s="281"/>
      <c r="AC174" s="280">
        <v>5995120.0</v>
      </c>
      <c r="AD174" s="269"/>
      <c r="AE174" s="269"/>
      <c r="AF174" s="281"/>
      <c r="AG174" s="289" t="s">
        <v>710</v>
      </c>
      <c r="AH174" s="287"/>
      <c r="AI174" s="287"/>
      <c r="AJ174" s="287"/>
      <c r="AK174" s="287"/>
      <c r="AL174" s="287"/>
      <c r="AM174" s="287"/>
      <c r="AN174" s="287"/>
      <c r="AO174" s="287"/>
      <c r="AP174" s="287"/>
      <c r="AQ174" s="288"/>
      <c r="AR174" s="2"/>
      <c r="AS174" s="2"/>
      <c r="AT174" s="2"/>
      <c r="AU174" s="2"/>
      <c r="AV174" s="2"/>
      <c r="AW174" s="2"/>
      <c r="AX174" s="2"/>
      <c r="AY174" s="2"/>
      <c r="AZ174" s="2"/>
      <c r="BA174" s="2"/>
      <c r="BB174" s="2"/>
      <c r="BC174" s="2"/>
      <c r="BD174" s="2"/>
      <c r="BE174" s="2"/>
      <c r="BF174" s="2"/>
      <c r="BG174" s="2"/>
      <c r="BH174" s="2"/>
      <c r="BI174" s="2"/>
      <c r="BJ174" s="2"/>
      <c r="BK174" s="2"/>
      <c r="BL174" s="2"/>
    </row>
    <row r="175" ht="18.75" hidden="1" customHeight="1">
      <c r="A175" s="2"/>
      <c r="B175" s="268" t="str">
        <f t="shared" si="41"/>
        <v>God Wars Dungeon - Armadyl Crossbow</v>
      </c>
      <c r="C175" s="269"/>
      <c r="D175" s="269"/>
      <c r="E175" s="269"/>
      <c r="F175" s="269"/>
      <c r="G175" s="270"/>
      <c r="H175" s="271" t="s">
        <v>603</v>
      </c>
      <c r="I175" s="269"/>
      <c r="J175" s="270"/>
      <c r="K175" s="272">
        <f t="shared" si="4"/>
        <v>20</v>
      </c>
      <c r="L175" s="271">
        <f t="shared" si="42"/>
        <v>18</v>
      </c>
      <c r="M175" s="269"/>
      <c r="N175" s="270"/>
      <c r="O175" s="273">
        <f t="shared" si="43"/>
        <v>4</v>
      </c>
      <c r="P175" s="269"/>
      <c r="Q175" s="270"/>
      <c r="R175" s="274">
        <f t="shared" si="7"/>
        <v>4.444444444</v>
      </c>
      <c r="S175" s="269"/>
      <c r="T175" s="275"/>
      <c r="U175" s="2"/>
      <c r="V175" s="2"/>
      <c r="W175" s="285" t="s">
        <v>711</v>
      </c>
      <c r="X175" s="269"/>
      <c r="Y175" s="269"/>
      <c r="Z175" s="269"/>
      <c r="AA175" s="269"/>
      <c r="AB175" s="281"/>
      <c r="AC175" s="280">
        <v>3474926.0</v>
      </c>
      <c r="AD175" s="269"/>
      <c r="AE175" s="269"/>
      <c r="AF175" s="281"/>
      <c r="AG175" s="289" t="s">
        <v>712</v>
      </c>
      <c r="AH175" s="287"/>
      <c r="AI175" s="287"/>
      <c r="AJ175" s="287"/>
      <c r="AK175" s="287"/>
      <c r="AL175" s="287"/>
      <c r="AM175" s="287"/>
      <c r="AN175" s="287"/>
      <c r="AO175" s="287"/>
      <c r="AP175" s="287"/>
      <c r="AQ175" s="288"/>
      <c r="AR175" s="2"/>
      <c r="AS175" s="2"/>
      <c r="AT175" s="2"/>
      <c r="AU175" s="2"/>
      <c r="AV175" s="2"/>
      <c r="AW175" s="2"/>
      <c r="AX175" s="2"/>
      <c r="AY175" s="2"/>
      <c r="AZ175" s="2"/>
      <c r="BA175" s="2"/>
      <c r="BB175" s="2"/>
      <c r="BC175" s="2"/>
      <c r="BD175" s="2"/>
      <c r="BE175" s="2"/>
      <c r="BF175" s="2"/>
      <c r="BG175" s="2"/>
      <c r="BH175" s="2"/>
      <c r="BI175" s="2"/>
      <c r="BJ175" s="2"/>
      <c r="BK175" s="2"/>
      <c r="BL175" s="2"/>
    </row>
    <row r="176" ht="18.75" hidden="1" customHeight="1">
      <c r="A176" s="2"/>
      <c r="B176" s="268" t="str">
        <f t="shared" si="41"/>
        <v>God Wars Dungeon - Saradomin Hilt</v>
      </c>
      <c r="C176" s="269"/>
      <c r="D176" s="269"/>
      <c r="E176" s="269"/>
      <c r="F176" s="269"/>
      <c r="G176" s="270"/>
      <c r="H176" s="271" t="s">
        <v>603</v>
      </c>
      <c r="I176" s="269"/>
      <c r="J176" s="270"/>
      <c r="K176" s="272">
        <f t="shared" si="4"/>
        <v>20</v>
      </c>
      <c r="L176" s="271">
        <f t="shared" si="42"/>
        <v>18</v>
      </c>
      <c r="M176" s="269"/>
      <c r="N176" s="270"/>
      <c r="O176" s="273">
        <f t="shared" si="43"/>
        <v>4</v>
      </c>
      <c r="P176" s="269"/>
      <c r="Q176" s="270"/>
      <c r="R176" s="274">
        <f t="shared" si="7"/>
        <v>4.444444444</v>
      </c>
      <c r="S176" s="269"/>
      <c r="T176" s="275"/>
      <c r="U176" s="2"/>
      <c r="V176" s="2"/>
      <c r="W176" s="285" t="s">
        <v>713</v>
      </c>
      <c r="X176" s="269"/>
      <c r="Y176" s="269"/>
      <c r="Z176" s="269"/>
      <c r="AA176" s="269"/>
      <c r="AB176" s="281"/>
      <c r="AC176" s="280">
        <v>2997560.0</v>
      </c>
      <c r="AD176" s="269"/>
      <c r="AE176" s="269"/>
      <c r="AF176" s="281"/>
      <c r="AG176" s="289" t="s">
        <v>714</v>
      </c>
      <c r="AH176" s="287"/>
      <c r="AI176" s="287"/>
      <c r="AJ176" s="287"/>
      <c r="AK176" s="287"/>
      <c r="AL176" s="287"/>
      <c r="AM176" s="287"/>
      <c r="AN176" s="287"/>
      <c r="AO176" s="287"/>
      <c r="AP176" s="287"/>
      <c r="AQ176" s="288"/>
      <c r="AR176" s="2"/>
      <c r="AS176" s="2"/>
      <c r="AT176" s="2"/>
      <c r="AU176" s="2"/>
      <c r="AV176" s="2"/>
      <c r="AW176" s="2"/>
      <c r="AX176" s="2"/>
      <c r="AY176" s="2"/>
      <c r="AZ176" s="2"/>
      <c r="BA176" s="2"/>
      <c r="BB176" s="2"/>
      <c r="BC176" s="2"/>
      <c r="BD176" s="2"/>
      <c r="BE176" s="2"/>
      <c r="BF176" s="2"/>
      <c r="BG176" s="2"/>
      <c r="BH176" s="2"/>
      <c r="BI176" s="2"/>
      <c r="BJ176" s="2"/>
      <c r="BK176" s="2"/>
      <c r="BL176" s="2"/>
    </row>
    <row r="177" ht="18.75" hidden="1" customHeight="1">
      <c r="A177" s="2"/>
      <c r="B177" s="268" t="str">
        <f t="shared" si="41"/>
        <v>God Wars Dungeon - Bandos Piece (any)</v>
      </c>
      <c r="C177" s="269"/>
      <c r="D177" s="269"/>
      <c r="E177" s="269"/>
      <c r="F177" s="269"/>
      <c r="G177" s="270"/>
      <c r="H177" s="271" t="s">
        <v>603</v>
      </c>
      <c r="I177" s="269"/>
      <c r="J177" s="270"/>
      <c r="K177" s="272">
        <f t="shared" si="4"/>
        <v>20</v>
      </c>
      <c r="L177" s="271">
        <f t="shared" si="42"/>
        <v>18</v>
      </c>
      <c r="M177" s="269"/>
      <c r="N177" s="270"/>
      <c r="O177" s="273">
        <f t="shared" si="43"/>
        <v>2</v>
      </c>
      <c r="P177" s="269"/>
      <c r="Q177" s="270"/>
      <c r="R177" s="274">
        <f t="shared" si="7"/>
        <v>2.222222222</v>
      </c>
      <c r="S177" s="269"/>
      <c r="T177" s="275"/>
      <c r="U177" s="2"/>
      <c r="V177" s="2"/>
      <c r="W177" s="285" t="s">
        <v>715</v>
      </c>
      <c r="X177" s="269"/>
      <c r="Y177" s="269"/>
      <c r="Z177" s="269"/>
      <c r="AA177" s="269"/>
      <c r="AB177" s="281"/>
      <c r="AC177" s="280">
        <v>2635603.0</v>
      </c>
      <c r="AD177" s="269"/>
      <c r="AE177" s="269"/>
      <c r="AF177" s="281"/>
      <c r="AG177" s="289" t="s">
        <v>716</v>
      </c>
      <c r="AH177" s="287"/>
      <c r="AI177" s="287"/>
      <c r="AJ177" s="287"/>
      <c r="AK177" s="287"/>
      <c r="AL177" s="287"/>
      <c r="AM177" s="287"/>
      <c r="AN177" s="287"/>
      <c r="AO177" s="287"/>
      <c r="AP177" s="287"/>
      <c r="AQ177" s="288"/>
      <c r="AR177" s="2"/>
      <c r="AS177" s="2"/>
      <c r="AT177" s="2"/>
      <c r="AU177" s="2"/>
      <c r="AV177" s="2"/>
      <c r="AW177" s="2"/>
      <c r="AX177" s="2"/>
      <c r="AY177" s="2"/>
      <c r="AZ177" s="2"/>
      <c r="BA177" s="2"/>
      <c r="BB177" s="2"/>
      <c r="BC177" s="2"/>
      <c r="BD177" s="2"/>
      <c r="BE177" s="2"/>
      <c r="BF177" s="2"/>
      <c r="BG177" s="2"/>
      <c r="BH177" s="2"/>
      <c r="BI177" s="2"/>
      <c r="BJ177" s="2"/>
      <c r="BK177" s="2"/>
      <c r="BL177" s="2"/>
    </row>
    <row r="178" ht="18.75" hidden="1" customHeight="1">
      <c r="A178" s="2"/>
      <c r="B178" s="268" t="str">
        <f t="shared" si="41"/>
        <v>God Wars Dungeon - Bandos Hilt</v>
      </c>
      <c r="C178" s="269"/>
      <c r="D178" s="269"/>
      <c r="E178" s="269"/>
      <c r="F178" s="269"/>
      <c r="G178" s="270"/>
      <c r="H178" s="271" t="s">
        <v>603</v>
      </c>
      <c r="I178" s="269"/>
      <c r="J178" s="270"/>
      <c r="K178" s="272">
        <f t="shared" si="4"/>
        <v>20</v>
      </c>
      <c r="L178" s="271">
        <f t="shared" si="42"/>
        <v>18</v>
      </c>
      <c r="M178" s="269"/>
      <c r="N178" s="270"/>
      <c r="O178" s="273">
        <f t="shared" si="43"/>
        <v>4</v>
      </c>
      <c r="P178" s="269"/>
      <c r="Q178" s="270"/>
      <c r="R178" s="274">
        <f t="shared" si="7"/>
        <v>4.444444444</v>
      </c>
      <c r="S178" s="269"/>
      <c r="T178" s="275"/>
      <c r="U178" s="2"/>
      <c r="V178" s="2"/>
      <c r="W178" s="285" t="s">
        <v>717</v>
      </c>
      <c r="X178" s="269"/>
      <c r="Y178" s="269"/>
      <c r="Z178" s="269"/>
      <c r="AA178" s="269"/>
      <c r="AB178" s="281"/>
      <c r="AC178" s="280">
        <v>1501703.0</v>
      </c>
      <c r="AD178" s="269"/>
      <c r="AE178" s="269"/>
      <c r="AF178" s="281"/>
      <c r="AG178" s="289" t="s">
        <v>718</v>
      </c>
      <c r="AH178" s="287"/>
      <c r="AI178" s="287"/>
      <c r="AJ178" s="287"/>
      <c r="AK178" s="287"/>
      <c r="AL178" s="287"/>
      <c r="AM178" s="287"/>
      <c r="AN178" s="287"/>
      <c r="AO178" s="287"/>
      <c r="AP178" s="287"/>
      <c r="AQ178" s="288"/>
      <c r="AR178" s="2"/>
      <c r="AS178" s="2"/>
      <c r="AT178" s="2"/>
      <c r="AU178" s="2"/>
      <c r="AV178" s="2"/>
      <c r="AW178" s="2"/>
      <c r="AX178" s="2"/>
      <c r="AY178" s="2"/>
      <c r="AZ178" s="2"/>
      <c r="BA178" s="2"/>
      <c r="BB178" s="2"/>
      <c r="BC178" s="2"/>
      <c r="BD178" s="2"/>
      <c r="BE178" s="2"/>
      <c r="BF178" s="2"/>
      <c r="BG178" s="2"/>
      <c r="BH178" s="2"/>
      <c r="BI178" s="2"/>
      <c r="BJ178" s="2"/>
      <c r="BK178" s="2"/>
      <c r="BL178" s="2"/>
    </row>
    <row r="179" ht="18.75" hidden="1" customHeight="1">
      <c r="A179" s="2"/>
      <c r="B179" s="268" t="str">
        <f t="shared" si="41"/>
        <v>God Wars Dungeon - Armadyl Piece (any)</v>
      </c>
      <c r="C179" s="269"/>
      <c r="D179" s="269"/>
      <c r="E179" s="269"/>
      <c r="F179" s="269"/>
      <c r="G179" s="270"/>
      <c r="H179" s="271" t="s">
        <v>603</v>
      </c>
      <c r="I179" s="269"/>
      <c r="J179" s="270"/>
      <c r="K179" s="272">
        <f t="shared" si="4"/>
        <v>20</v>
      </c>
      <c r="L179" s="271">
        <f t="shared" si="42"/>
        <v>18</v>
      </c>
      <c r="M179" s="269"/>
      <c r="N179" s="270"/>
      <c r="O179" s="273">
        <f t="shared" si="43"/>
        <v>2</v>
      </c>
      <c r="P179" s="269"/>
      <c r="Q179" s="270"/>
      <c r="R179" s="274">
        <f t="shared" si="7"/>
        <v>2.222222222</v>
      </c>
      <c r="S179" s="269"/>
      <c r="T179" s="275"/>
      <c r="U179" s="2"/>
      <c r="V179" s="2"/>
      <c r="W179" s="285" t="s">
        <v>437</v>
      </c>
      <c r="X179" s="269"/>
      <c r="Y179" s="269"/>
      <c r="Z179" s="269"/>
      <c r="AA179" s="269"/>
      <c r="AB179" s="281"/>
      <c r="AC179" s="280">
        <v>1.15913102E8</v>
      </c>
      <c r="AD179" s="269"/>
      <c r="AE179" s="269"/>
      <c r="AF179" s="281"/>
      <c r="AG179" s="289" t="s">
        <v>196</v>
      </c>
      <c r="AH179" s="287"/>
      <c r="AI179" s="287"/>
      <c r="AJ179" s="287"/>
      <c r="AK179" s="287"/>
      <c r="AL179" s="287"/>
      <c r="AM179" s="287"/>
      <c r="AN179" s="287"/>
      <c r="AO179" s="287"/>
      <c r="AP179" s="287"/>
      <c r="AQ179" s="288"/>
      <c r="AR179" s="2"/>
      <c r="AS179" s="2"/>
      <c r="AT179" s="2"/>
      <c r="AU179" s="2"/>
      <c r="AV179" s="2"/>
      <c r="AW179" s="2"/>
      <c r="AX179" s="2"/>
      <c r="AY179" s="2"/>
      <c r="AZ179" s="2"/>
      <c r="BA179" s="2"/>
      <c r="BB179" s="2"/>
      <c r="BC179" s="2"/>
      <c r="BD179" s="2"/>
      <c r="BE179" s="2"/>
      <c r="BF179" s="2"/>
      <c r="BG179" s="2"/>
      <c r="BH179" s="2"/>
      <c r="BI179" s="2"/>
      <c r="BJ179" s="2"/>
      <c r="BK179" s="2"/>
      <c r="BL179" s="2"/>
    </row>
    <row r="180" ht="18.75" hidden="1" customHeight="1">
      <c r="A180" s="2"/>
      <c r="B180" s="268" t="str">
        <f t="shared" si="41"/>
        <v>God Wars Dungeon - Armadyl Hilt</v>
      </c>
      <c r="C180" s="269"/>
      <c r="D180" s="269"/>
      <c r="E180" s="269"/>
      <c r="F180" s="269"/>
      <c r="G180" s="270"/>
      <c r="H180" s="271" t="s">
        <v>603</v>
      </c>
      <c r="I180" s="269"/>
      <c r="J180" s="270"/>
      <c r="K180" s="272">
        <f t="shared" si="4"/>
        <v>20</v>
      </c>
      <c r="L180" s="271">
        <f t="shared" si="42"/>
        <v>18</v>
      </c>
      <c r="M180" s="269"/>
      <c r="N180" s="270"/>
      <c r="O180" s="273">
        <f t="shared" si="43"/>
        <v>4</v>
      </c>
      <c r="P180" s="269"/>
      <c r="Q180" s="270"/>
      <c r="R180" s="274">
        <f t="shared" si="7"/>
        <v>4.444444444</v>
      </c>
      <c r="S180" s="269"/>
      <c r="T180" s="275"/>
      <c r="U180" s="2"/>
      <c r="V180" s="2"/>
      <c r="W180" s="285" t="s">
        <v>433</v>
      </c>
      <c r="X180" s="269"/>
      <c r="Y180" s="269"/>
      <c r="Z180" s="269"/>
      <c r="AA180" s="269"/>
      <c r="AB180" s="281"/>
      <c r="AC180" s="280">
        <v>5612863.0</v>
      </c>
      <c r="AD180" s="269"/>
      <c r="AE180" s="269"/>
      <c r="AF180" s="281"/>
      <c r="AG180" s="289" t="s">
        <v>133</v>
      </c>
      <c r="AH180" s="287"/>
      <c r="AI180" s="287"/>
      <c r="AJ180" s="287"/>
      <c r="AK180" s="287"/>
      <c r="AL180" s="287"/>
      <c r="AM180" s="287"/>
      <c r="AN180" s="287"/>
      <c r="AO180" s="287"/>
      <c r="AP180" s="287"/>
      <c r="AQ180" s="288"/>
      <c r="AR180" s="2"/>
      <c r="AS180" s="2"/>
      <c r="AT180" s="2"/>
      <c r="AU180" s="2"/>
      <c r="AV180" s="2"/>
      <c r="AW180" s="2"/>
      <c r="AX180" s="2"/>
      <c r="AY180" s="2"/>
      <c r="AZ180" s="2"/>
      <c r="BA180" s="2"/>
      <c r="BB180" s="2"/>
      <c r="BC180" s="2"/>
      <c r="BD180" s="2"/>
      <c r="BE180" s="2"/>
      <c r="BF180" s="2"/>
      <c r="BG180" s="2"/>
      <c r="BH180" s="2"/>
      <c r="BI180" s="2"/>
      <c r="BJ180" s="2"/>
      <c r="BK180" s="2"/>
      <c r="BL180" s="2"/>
    </row>
    <row r="181" ht="18.75" hidden="1" customHeight="1">
      <c r="A181" s="2"/>
      <c r="B181" s="268" t="str">
        <f t="shared" si="41"/>
        <v>God Wars Dungeon - Steam Battlestaff</v>
      </c>
      <c r="C181" s="269"/>
      <c r="D181" s="269"/>
      <c r="E181" s="269"/>
      <c r="F181" s="269"/>
      <c r="G181" s="270"/>
      <c r="H181" s="271" t="s">
        <v>603</v>
      </c>
      <c r="I181" s="269"/>
      <c r="J181" s="270"/>
      <c r="K181" s="272">
        <f t="shared" si="4"/>
        <v>20</v>
      </c>
      <c r="L181" s="271">
        <f t="shared" si="42"/>
        <v>18</v>
      </c>
      <c r="M181" s="269"/>
      <c r="N181" s="270"/>
      <c r="O181" s="273">
        <f t="shared" si="43"/>
        <v>1</v>
      </c>
      <c r="P181" s="269"/>
      <c r="Q181" s="270"/>
      <c r="R181" s="274">
        <f t="shared" si="7"/>
        <v>1.111111111</v>
      </c>
      <c r="S181" s="269"/>
      <c r="T181" s="275"/>
      <c r="U181" s="2"/>
      <c r="V181" s="2"/>
      <c r="W181" s="285" t="s">
        <v>429</v>
      </c>
      <c r="X181" s="269"/>
      <c r="Y181" s="269"/>
      <c r="Z181" s="269"/>
      <c r="AA181" s="269"/>
      <c r="AB181" s="281"/>
      <c r="AC181" s="280">
        <v>350915.0</v>
      </c>
      <c r="AD181" s="269"/>
      <c r="AE181" s="269"/>
      <c r="AF181" s="281"/>
      <c r="AG181" s="289" t="s">
        <v>163</v>
      </c>
      <c r="AH181" s="287"/>
      <c r="AI181" s="287"/>
      <c r="AJ181" s="287"/>
      <c r="AK181" s="287"/>
      <c r="AL181" s="287"/>
      <c r="AM181" s="287"/>
      <c r="AN181" s="287"/>
      <c r="AO181" s="287"/>
      <c r="AP181" s="287"/>
      <c r="AQ181" s="288"/>
      <c r="AR181" s="2"/>
      <c r="AS181" s="2"/>
      <c r="AT181" s="2"/>
      <c r="AU181" s="2"/>
      <c r="AV181" s="2"/>
      <c r="AW181" s="2"/>
      <c r="AX181" s="2"/>
      <c r="AY181" s="2"/>
      <c r="AZ181" s="2"/>
      <c r="BA181" s="2"/>
      <c r="BB181" s="2"/>
      <c r="BC181" s="2"/>
      <c r="BD181" s="2"/>
      <c r="BE181" s="2"/>
      <c r="BF181" s="2"/>
      <c r="BG181" s="2"/>
      <c r="BH181" s="2"/>
      <c r="BI181" s="2"/>
      <c r="BJ181" s="2"/>
      <c r="BK181" s="2"/>
      <c r="BL181" s="2"/>
    </row>
    <row r="182" ht="18.75" hidden="1" customHeight="1">
      <c r="A182" s="2"/>
      <c r="B182" s="268" t="str">
        <f t="shared" si="41"/>
        <v>God Wars Dungeon - Zamorakian Spear</v>
      </c>
      <c r="C182" s="269"/>
      <c r="D182" s="269"/>
      <c r="E182" s="269"/>
      <c r="F182" s="269"/>
      <c r="G182" s="270"/>
      <c r="H182" s="271" t="s">
        <v>603</v>
      </c>
      <c r="I182" s="269"/>
      <c r="J182" s="270"/>
      <c r="K182" s="272">
        <f t="shared" si="4"/>
        <v>20</v>
      </c>
      <c r="L182" s="271">
        <f t="shared" si="42"/>
        <v>18</v>
      </c>
      <c r="M182" s="269"/>
      <c r="N182" s="270"/>
      <c r="O182" s="273">
        <f t="shared" si="43"/>
        <v>2</v>
      </c>
      <c r="P182" s="269"/>
      <c r="Q182" s="270"/>
      <c r="R182" s="274">
        <f t="shared" si="7"/>
        <v>2.222222222</v>
      </c>
      <c r="S182" s="269"/>
      <c r="T182" s="275"/>
      <c r="U182" s="2"/>
      <c r="V182" s="2"/>
      <c r="W182" s="285" t="s">
        <v>344</v>
      </c>
      <c r="X182" s="269"/>
      <c r="Y182" s="269"/>
      <c r="Z182" s="269"/>
      <c r="AA182" s="269"/>
      <c r="AB182" s="281"/>
      <c r="AC182" s="280">
        <v>3.6321282E7</v>
      </c>
      <c r="AD182" s="269"/>
      <c r="AE182" s="269"/>
      <c r="AF182" s="281"/>
      <c r="AG182" s="289" t="s">
        <v>187</v>
      </c>
      <c r="AH182" s="287"/>
      <c r="AI182" s="287"/>
      <c r="AJ182" s="287"/>
      <c r="AK182" s="287"/>
      <c r="AL182" s="287"/>
      <c r="AM182" s="287"/>
      <c r="AN182" s="287"/>
      <c r="AO182" s="287"/>
      <c r="AP182" s="287"/>
      <c r="AQ182" s="288"/>
      <c r="AR182" s="2"/>
      <c r="AS182" s="2"/>
      <c r="AT182" s="2"/>
      <c r="AU182" s="2"/>
      <c r="AV182" s="2"/>
      <c r="AW182" s="2"/>
      <c r="AX182" s="2"/>
      <c r="AY182" s="2"/>
      <c r="AZ182" s="2"/>
      <c r="BA182" s="2"/>
      <c r="BB182" s="2"/>
      <c r="BC182" s="2"/>
      <c r="BD182" s="2"/>
      <c r="BE182" s="2"/>
      <c r="BF182" s="2"/>
      <c r="BG182" s="2"/>
      <c r="BH182" s="2"/>
      <c r="BI182" s="2"/>
      <c r="BJ182" s="2"/>
      <c r="BK182" s="2"/>
      <c r="BL182" s="2"/>
    </row>
    <row r="183" ht="18.75" hidden="1" customHeight="1">
      <c r="A183" s="2"/>
      <c r="B183" s="268" t="str">
        <f t="shared" si="41"/>
        <v>God Wars Dungeon - Staff of the Dead</v>
      </c>
      <c r="C183" s="269"/>
      <c r="D183" s="269"/>
      <c r="E183" s="269"/>
      <c r="F183" s="269"/>
      <c r="G183" s="270"/>
      <c r="H183" s="271" t="s">
        <v>603</v>
      </c>
      <c r="I183" s="269"/>
      <c r="J183" s="270"/>
      <c r="K183" s="272">
        <f t="shared" si="4"/>
        <v>20</v>
      </c>
      <c r="L183" s="271">
        <f t="shared" si="42"/>
        <v>18</v>
      </c>
      <c r="M183" s="269"/>
      <c r="N183" s="270"/>
      <c r="O183" s="273">
        <f t="shared" si="43"/>
        <v>2</v>
      </c>
      <c r="P183" s="269"/>
      <c r="Q183" s="270"/>
      <c r="R183" s="274">
        <f t="shared" si="7"/>
        <v>2.222222222</v>
      </c>
      <c r="S183" s="269"/>
      <c r="T183" s="275"/>
      <c r="U183" s="2"/>
      <c r="V183" s="2"/>
      <c r="W183" s="285" t="s">
        <v>719</v>
      </c>
      <c r="X183" s="269"/>
      <c r="Y183" s="269"/>
      <c r="Z183" s="269"/>
      <c r="AA183" s="269"/>
      <c r="AB183" s="281"/>
      <c r="AC183" s="280">
        <v>3.5296451E7</v>
      </c>
      <c r="AD183" s="269"/>
      <c r="AE183" s="269"/>
      <c r="AF183" s="281"/>
      <c r="AG183" s="289" t="s">
        <v>720</v>
      </c>
      <c r="AH183" s="287"/>
      <c r="AI183" s="287"/>
      <c r="AJ183" s="287"/>
      <c r="AK183" s="287"/>
      <c r="AL183" s="287"/>
      <c r="AM183" s="287"/>
      <c r="AN183" s="287"/>
      <c r="AO183" s="287"/>
      <c r="AP183" s="287"/>
      <c r="AQ183" s="288"/>
      <c r="AR183" s="2"/>
      <c r="AS183" s="2"/>
      <c r="AT183" s="2"/>
      <c r="AU183" s="2"/>
      <c r="AV183" s="2"/>
      <c r="AW183" s="2"/>
      <c r="AX183" s="2"/>
      <c r="AY183" s="2"/>
      <c r="AZ183" s="2"/>
      <c r="BA183" s="2"/>
      <c r="BB183" s="2"/>
      <c r="BC183" s="2"/>
      <c r="BD183" s="2"/>
      <c r="BE183" s="2"/>
      <c r="BF183" s="2"/>
      <c r="BG183" s="2"/>
      <c r="BH183" s="2"/>
      <c r="BI183" s="2"/>
      <c r="BJ183" s="2"/>
      <c r="BK183" s="2"/>
      <c r="BL183" s="2"/>
    </row>
    <row r="184" ht="18.75" hidden="1" customHeight="1">
      <c r="A184" s="2"/>
      <c r="B184" s="268" t="str">
        <f t="shared" si="41"/>
        <v>God Wars Dungeon - Zamorak Hilt</v>
      </c>
      <c r="C184" s="269"/>
      <c r="D184" s="269"/>
      <c r="E184" s="269"/>
      <c r="F184" s="269"/>
      <c r="G184" s="270"/>
      <c r="H184" s="271" t="s">
        <v>603</v>
      </c>
      <c r="I184" s="269"/>
      <c r="J184" s="270"/>
      <c r="K184" s="272">
        <f t="shared" si="4"/>
        <v>20</v>
      </c>
      <c r="L184" s="271">
        <f t="shared" si="42"/>
        <v>18</v>
      </c>
      <c r="M184" s="269"/>
      <c r="N184" s="270"/>
      <c r="O184" s="273">
        <f t="shared" si="43"/>
        <v>2</v>
      </c>
      <c r="P184" s="269"/>
      <c r="Q184" s="270"/>
      <c r="R184" s="274">
        <f t="shared" si="7"/>
        <v>2.222222222</v>
      </c>
      <c r="S184" s="269"/>
      <c r="T184" s="275"/>
      <c r="U184" s="2"/>
      <c r="V184" s="2"/>
      <c r="W184" s="285" t="s">
        <v>721</v>
      </c>
      <c r="X184" s="269"/>
      <c r="Y184" s="269"/>
      <c r="Z184" s="269"/>
      <c r="AA184" s="269"/>
      <c r="AB184" s="281"/>
      <c r="AC184" s="280">
        <v>2.6160423E7</v>
      </c>
      <c r="AD184" s="269"/>
      <c r="AE184" s="269"/>
      <c r="AF184" s="281"/>
      <c r="AG184" s="289" t="s">
        <v>722</v>
      </c>
      <c r="AH184" s="287"/>
      <c r="AI184" s="287"/>
      <c r="AJ184" s="287"/>
      <c r="AK184" s="287"/>
      <c r="AL184" s="287"/>
      <c r="AM184" s="287"/>
      <c r="AN184" s="287"/>
      <c r="AO184" s="287"/>
      <c r="AP184" s="287"/>
      <c r="AQ184" s="288"/>
      <c r="AR184" s="2"/>
      <c r="AS184" s="2"/>
      <c r="AT184" s="2"/>
      <c r="AU184" s="2"/>
      <c r="AV184" s="2"/>
      <c r="AW184" s="2"/>
      <c r="AX184" s="2"/>
      <c r="AY184" s="2"/>
      <c r="AZ184" s="2"/>
      <c r="BA184" s="2"/>
      <c r="BB184" s="2"/>
      <c r="BC184" s="2"/>
      <c r="BD184" s="2"/>
      <c r="BE184" s="2"/>
      <c r="BF184" s="2"/>
      <c r="BG184" s="2"/>
      <c r="BH184" s="2"/>
      <c r="BI184" s="2"/>
      <c r="BJ184" s="2"/>
      <c r="BK184" s="2"/>
      <c r="BL184" s="2"/>
    </row>
    <row r="185" ht="18.75" hidden="1" customHeight="1">
      <c r="A185" s="2"/>
      <c r="B185" s="268" t="str">
        <f t="shared" si="41"/>
        <v>God Wars Dungeon - Godsword Shard (any)</v>
      </c>
      <c r="C185" s="269"/>
      <c r="D185" s="269"/>
      <c r="E185" s="269"/>
      <c r="F185" s="269"/>
      <c r="G185" s="270"/>
      <c r="H185" s="271" t="s">
        <v>603</v>
      </c>
      <c r="I185" s="269"/>
      <c r="J185" s="270"/>
      <c r="K185" s="272">
        <f t="shared" si="4"/>
        <v>20</v>
      </c>
      <c r="L185" s="271">
        <f t="shared" si="42"/>
        <v>18</v>
      </c>
      <c r="M185" s="269"/>
      <c r="N185" s="270"/>
      <c r="O185" s="273">
        <f t="shared" si="43"/>
        <v>1</v>
      </c>
      <c r="P185" s="269"/>
      <c r="Q185" s="270"/>
      <c r="R185" s="274">
        <f t="shared" si="7"/>
        <v>1.111111111</v>
      </c>
      <c r="S185" s="269"/>
      <c r="T185" s="275"/>
      <c r="U185" s="2"/>
      <c r="V185" s="2"/>
      <c r="W185" s="285" t="s">
        <v>350</v>
      </c>
      <c r="X185" s="269"/>
      <c r="Y185" s="269"/>
      <c r="Z185" s="269"/>
      <c r="AA185" s="269"/>
      <c r="AB185" s="281"/>
      <c r="AC185" s="280">
        <v>2.5140516E7</v>
      </c>
      <c r="AD185" s="269"/>
      <c r="AE185" s="269"/>
      <c r="AF185" s="281"/>
      <c r="AG185" s="289" t="s">
        <v>723</v>
      </c>
      <c r="AH185" s="287"/>
      <c r="AI185" s="287"/>
      <c r="AJ185" s="287"/>
      <c r="AK185" s="287"/>
      <c r="AL185" s="287"/>
      <c r="AM185" s="287"/>
      <c r="AN185" s="287"/>
      <c r="AO185" s="287"/>
      <c r="AP185" s="287"/>
      <c r="AQ185" s="288"/>
      <c r="AR185" s="2"/>
      <c r="AS185" s="2"/>
      <c r="AT185" s="2"/>
      <c r="AU185" s="2"/>
      <c r="AV185" s="2"/>
      <c r="AW185" s="2"/>
      <c r="AX185" s="2"/>
      <c r="AY185" s="2"/>
      <c r="AZ185" s="2"/>
      <c r="BA185" s="2"/>
      <c r="BB185" s="2"/>
      <c r="BC185" s="2"/>
      <c r="BD185" s="2"/>
      <c r="BE185" s="2"/>
      <c r="BF185" s="2"/>
      <c r="BG185" s="2"/>
      <c r="BH185" s="2"/>
      <c r="BI185" s="2"/>
      <c r="BJ185" s="2"/>
      <c r="BK185" s="2"/>
      <c r="BL185" s="2"/>
    </row>
    <row r="186" ht="18.75" hidden="1" customHeight="1">
      <c r="A186" s="2"/>
      <c r="B186" s="268" t="str">
        <f t="shared" si="41"/>
        <v>God Wars Dungeon - Pet</v>
      </c>
      <c r="C186" s="269"/>
      <c r="D186" s="269"/>
      <c r="E186" s="269"/>
      <c r="F186" s="269"/>
      <c r="G186" s="270"/>
      <c r="H186" s="271" t="s">
        <v>603</v>
      </c>
      <c r="I186" s="269"/>
      <c r="J186" s="270"/>
      <c r="K186" s="272">
        <f t="shared" si="4"/>
        <v>20</v>
      </c>
      <c r="L186" s="271">
        <f t="shared" si="42"/>
        <v>18</v>
      </c>
      <c r="M186" s="269"/>
      <c r="N186" s="270"/>
      <c r="O186" s="273">
        <f t="shared" si="43"/>
        <v>3</v>
      </c>
      <c r="P186" s="269"/>
      <c r="Q186" s="270"/>
      <c r="R186" s="274">
        <f t="shared" si="7"/>
        <v>3.333333333</v>
      </c>
      <c r="S186" s="269"/>
      <c r="T186" s="275"/>
      <c r="U186" s="2"/>
      <c r="V186" s="2"/>
      <c r="W186" s="285" t="s">
        <v>724</v>
      </c>
      <c r="X186" s="269"/>
      <c r="Y186" s="269"/>
      <c r="Z186" s="269"/>
      <c r="AA186" s="269"/>
      <c r="AB186" s="281"/>
      <c r="AC186" s="280">
        <v>2.3724385E7</v>
      </c>
      <c r="AD186" s="269"/>
      <c r="AE186" s="269"/>
      <c r="AF186" s="281"/>
      <c r="AG186" s="289" t="s">
        <v>725</v>
      </c>
      <c r="AH186" s="287"/>
      <c r="AI186" s="287"/>
      <c r="AJ186" s="287"/>
      <c r="AK186" s="287"/>
      <c r="AL186" s="287"/>
      <c r="AM186" s="287"/>
      <c r="AN186" s="287"/>
      <c r="AO186" s="287"/>
      <c r="AP186" s="287"/>
      <c r="AQ186" s="288"/>
      <c r="AR186" s="2"/>
      <c r="AS186" s="2"/>
      <c r="AT186" s="2"/>
      <c r="AU186" s="2"/>
      <c r="AV186" s="2"/>
      <c r="AW186" s="2"/>
      <c r="AX186" s="2"/>
      <c r="AY186" s="2"/>
      <c r="AZ186" s="2"/>
      <c r="BA186" s="2"/>
      <c r="BB186" s="2"/>
      <c r="BC186" s="2"/>
      <c r="BD186" s="2"/>
      <c r="BE186" s="2"/>
      <c r="BF186" s="2"/>
      <c r="BG186" s="2"/>
      <c r="BH186" s="2"/>
      <c r="BI186" s="2"/>
      <c r="BJ186" s="2"/>
      <c r="BK186" s="2"/>
      <c r="BL186" s="2"/>
    </row>
    <row r="187" ht="18.75" hidden="1" customHeight="1">
      <c r="A187" s="2"/>
      <c r="B187" s="268" t="str">
        <f t="shared" ref="B187:B192" si="44">$M$16 &amp; " - " &amp; M18</f>
        <v>Vorkath - Vorkath's Head</v>
      </c>
      <c r="C187" s="269"/>
      <c r="D187" s="269"/>
      <c r="E187" s="269"/>
      <c r="F187" s="269"/>
      <c r="G187" s="270"/>
      <c r="H187" s="271" t="s">
        <v>589</v>
      </c>
      <c r="I187" s="269"/>
      <c r="J187" s="270"/>
      <c r="K187" s="272">
        <f t="shared" si="4"/>
        <v>10</v>
      </c>
      <c r="L187" s="271">
        <f t="shared" ref="L187:L192" si="45">$V$16</f>
        <v>8</v>
      </c>
      <c r="M187" s="269"/>
      <c r="N187" s="270"/>
      <c r="O187" s="273">
        <f t="shared" ref="O187:O192" si="46">U18</f>
        <v>1</v>
      </c>
      <c r="P187" s="269"/>
      <c r="Q187" s="270"/>
      <c r="R187" s="274">
        <f t="shared" si="7"/>
        <v>1.25</v>
      </c>
      <c r="S187" s="269"/>
      <c r="T187" s="275"/>
      <c r="U187" s="2"/>
      <c r="V187" s="2"/>
      <c r="W187" s="285" t="s">
        <v>394</v>
      </c>
      <c r="X187" s="269"/>
      <c r="Y187" s="269"/>
      <c r="Z187" s="269"/>
      <c r="AA187" s="269"/>
      <c r="AB187" s="281"/>
      <c r="AC187" s="280">
        <v>1.8545127E7</v>
      </c>
      <c r="AD187" s="269"/>
      <c r="AE187" s="269"/>
      <c r="AF187" s="281"/>
      <c r="AG187" s="289" t="s">
        <v>726</v>
      </c>
      <c r="AH187" s="287"/>
      <c r="AI187" s="287"/>
      <c r="AJ187" s="287"/>
      <c r="AK187" s="287"/>
      <c r="AL187" s="287"/>
      <c r="AM187" s="287"/>
      <c r="AN187" s="287"/>
      <c r="AO187" s="287"/>
      <c r="AP187" s="287"/>
      <c r="AQ187" s="288"/>
      <c r="AR187" s="2"/>
      <c r="AS187" s="2"/>
      <c r="AT187" s="2"/>
      <c r="AU187" s="2"/>
      <c r="AV187" s="2"/>
      <c r="AW187" s="2"/>
      <c r="AX187" s="2"/>
      <c r="AY187" s="2"/>
      <c r="AZ187" s="2"/>
      <c r="BA187" s="2"/>
      <c r="BB187" s="2"/>
      <c r="BC187" s="2"/>
      <c r="BD187" s="2"/>
      <c r="BE187" s="2"/>
      <c r="BF187" s="2"/>
      <c r="BG187" s="2"/>
      <c r="BH187" s="2"/>
      <c r="BI187" s="2"/>
      <c r="BJ187" s="2"/>
      <c r="BK187" s="2"/>
      <c r="BL187" s="2"/>
    </row>
    <row r="188" ht="18.75" hidden="1" customHeight="1">
      <c r="A188" s="2"/>
      <c r="B188" s="268" t="str">
        <f t="shared" si="44"/>
        <v>Vorkath - Dragonbone Necklace</v>
      </c>
      <c r="C188" s="269"/>
      <c r="D188" s="269"/>
      <c r="E188" s="269"/>
      <c r="F188" s="269"/>
      <c r="G188" s="270"/>
      <c r="H188" s="271" t="s">
        <v>589</v>
      </c>
      <c r="I188" s="269"/>
      <c r="J188" s="270"/>
      <c r="K188" s="272">
        <f t="shared" si="4"/>
        <v>10</v>
      </c>
      <c r="L188" s="271">
        <f t="shared" si="45"/>
        <v>8</v>
      </c>
      <c r="M188" s="269"/>
      <c r="N188" s="270"/>
      <c r="O188" s="273">
        <f t="shared" si="46"/>
        <v>2</v>
      </c>
      <c r="P188" s="269"/>
      <c r="Q188" s="270"/>
      <c r="R188" s="274">
        <f t="shared" si="7"/>
        <v>2.5</v>
      </c>
      <c r="S188" s="269"/>
      <c r="T188" s="275"/>
      <c r="U188" s="2"/>
      <c r="V188" s="2"/>
      <c r="W188" s="285" t="s">
        <v>359</v>
      </c>
      <c r="X188" s="269"/>
      <c r="Y188" s="269"/>
      <c r="Z188" s="269"/>
      <c r="AA188" s="269"/>
      <c r="AB188" s="281"/>
      <c r="AC188" s="280">
        <v>1.698357E7</v>
      </c>
      <c r="AD188" s="269"/>
      <c r="AE188" s="269"/>
      <c r="AF188" s="281"/>
      <c r="AG188" s="289" t="s">
        <v>188</v>
      </c>
      <c r="AH188" s="287"/>
      <c r="AI188" s="287"/>
      <c r="AJ188" s="287"/>
      <c r="AK188" s="287"/>
      <c r="AL188" s="287"/>
      <c r="AM188" s="287"/>
      <c r="AN188" s="287"/>
      <c r="AO188" s="287"/>
      <c r="AP188" s="287"/>
      <c r="AQ188" s="288"/>
      <c r="AR188" s="2"/>
      <c r="AS188" s="2"/>
      <c r="AT188" s="2"/>
      <c r="AU188" s="2"/>
      <c r="AV188" s="2"/>
      <c r="AW188" s="2"/>
      <c r="AX188" s="2"/>
      <c r="AY188" s="2"/>
      <c r="AZ188" s="2"/>
      <c r="BA188" s="2"/>
      <c r="BB188" s="2"/>
      <c r="BC188" s="2"/>
      <c r="BD188" s="2"/>
      <c r="BE188" s="2"/>
      <c r="BF188" s="2"/>
      <c r="BG188" s="2"/>
      <c r="BH188" s="2"/>
      <c r="BI188" s="2"/>
      <c r="BJ188" s="2"/>
      <c r="BK188" s="2"/>
      <c r="BL188" s="2"/>
    </row>
    <row r="189" ht="18.75" hidden="1" customHeight="1">
      <c r="A189" s="2"/>
      <c r="B189" s="268" t="str">
        <f t="shared" si="44"/>
        <v>Vorkath - Draconic Visage</v>
      </c>
      <c r="C189" s="269"/>
      <c r="D189" s="269"/>
      <c r="E189" s="269"/>
      <c r="F189" s="269"/>
      <c r="G189" s="270"/>
      <c r="H189" s="271" t="s">
        <v>589</v>
      </c>
      <c r="I189" s="269"/>
      <c r="J189" s="270"/>
      <c r="K189" s="272">
        <f t="shared" si="4"/>
        <v>10</v>
      </c>
      <c r="L189" s="271">
        <f t="shared" si="45"/>
        <v>8</v>
      </c>
      <c r="M189" s="269"/>
      <c r="N189" s="270"/>
      <c r="O189" s="273">
        <f t="shared" si="46"/>
        <v>4</v>
      </c>
      <c r="P189" s="269"/>
      <c r="Q189" s="270"/>
      <c r="R189" s="274">
        <f t="shared" si="7"/>
        <v>5</v>
      </c>
      <c r="S189" s="269"/>
      <c r="T189" s="275"/>
      <c r="U189" s="2"/>
      <c r="V189" s="2"/>
      <c r="W189" s="285" t="s">
        <v>727</v>
      </c>
      <c r="X189" s="269"/>
      <c r="Y189" s="269"/>
      <c r="Z189" s="269"/>
      <c r="AA189" s="269"/>
      <c r="AB189" s="281"/>
      <c r="AC189" s="280">
        <v>1.5861698E7</v>
      </c>
      <c r="AD189" s="269"/>
      <c r="AE189" s="269"/>
      <c r="AF189" s="281"/>
      <c r="AG189" s="289" t="s">
        <v>728</v>
      </c>
      <c r="AH189" s="287"/>
      <c r="AI189" s="287"/>
      <c r="AJ189" s="287"/>
      <c r="AK189" s="287"/>
      <c r="AL189" s="287"/>
      <c r="AM189" s="287"/>
      <c r="AN189" s="287"/>
      <c r="AO189" s="287"/>
      <c r="AP189" s="287"/>
      <c r="AQ189" s="288"/>
      <c r="AR189" s="2"/>
      <c r="AS189" s="2"/>
      <c r="AT189" s="2"/>
      <c r="AU189" s="2"/>
      <c r="AV189" s="2"/>
      <c r="AW189" s="2"/>
      <c r="AX189" s="2"/>
      <c r="AY189" s="2"/>
      <c r="AZ189" s="2"/>
      <c r="BA189" s="2"/>
      <c r="BB189" s="2"/>
      <c r="BC189" s="2"/>
      <c r="BD189" s="2"/>
      <c r="BE189" s="2"/>
      <c r="BF189" s="2"/>
      <c r="BG189" s="2"/>
      <c r="BH189" s="2"/>
      <c r="BI189" s="2"/>
      <c r="BJ189" s="2"/>
      <c r="BK189" s="2"/>
      <c r="BL189" s="2"/>
    </row>
    <row r="190" ht="18.75" hidden="1" customHeight="1">
      <c r="A190" s="2"/>
      <c r="B190" s="268" t="str">
        <f t="shared" si="44"/>
        <v>Vorkath - Skeletal Visage</v>
      </c>
      <c r="C190" s="269"/>
      <c r="D190" s="269"/>
      <c r="E190" s="269"/>
      <c r="F190" s="269"/>
      <c r="G190" s="270"/>
      <c r="H190" s="271" t="s">
        <v>589</v>
      </c>
      <c r="I190" s="269"/>
      <c r="J190" s="270"/>
      <c r="K190" s="272">
        <f t="shared" si="4"/>
        <v>10</v>
      </c>
      <c r="L190" s="271">
        <f t="shared" si="45"/>
        <v>8</v>
      </c>
      <c r="M190" s="269"/>
      <c r="N190" s="270"/>
      <c r="O190" s="273">
        <f t="shared" si="46"/>
        <v>4</v>
      </c>
      <c r="P190" s="269"/>
      <c r="Q190" s="270"/>
      <c r="R190" s="274">
        <f t="shared" si="7"/>
        <v>5</v>
      </c>
      <c r="S190" s="269"/>
      <c r="T190" s="275"/>
      <c r="U190" s="2"/>
      <c r="V190" s="2"/>
      <c r="W190" s="285" t="s">
        <v>729</v>
      </c>
      <c r="X190" s="269"/>
      <c r="Y190" s="269"/>
      <c r="Z190" s="269"/>
      <c r="AA190" s="269"/>
      <c r="AB190" s="281"/>
      <c r="AC190" s="280">
        <v>8822776.0</v>
      </c>
      <c r="AD190" s="269"/>
      <c r="AE190" s="269"/>
      <c r="AF190" s="281"/>
      <c r="AG190" s="289" t="s">
        <v>730</v>
      </c>
      <c r="AH190" s="287"/>
      <c r="AI190" s="287"/>
      <c r="AJ190" s="287"/>
      <c r="AK190" s="287"/>
      <c r="AL190" s="287"/>
      <c r="AM190" s="287"/>
      <c r="AN190" s="287"/>
      <c r="AO190" s="287"/>
      <c r="AP190" s="287"/>
      <c r="AQ190" s="288"/>
      <c r="AR190" s="2"/>
      <c r="AS190" s="2"/>
      <c r="AT190" s="2"/>
      <c r="AU190" s="2"/>
      <c r="AV190" s="2"/>
      <c r="AW190" s="2"/>
      <c r="AX190" s="2"/>
      <c r="AY190" s="2"/>
      <c r="AZ190" s="2"/>
      <c r="BA190" s="2"/>
      <c r="BB190" s="2"/>
      <c r="BC190" s="2"/>
      <c r="BD190" s="2"/>
      <c r="BE190" s="2"/>
      <c r="BF190" s="2"/>
      <c r="BG190" s="2"/>
      <c r="BH190" s="2"/>
      <c r="BI190" s="2"/>
      <c r="BJ190" s="2"/>
      <c r="BK190" s="2"/>
      <c r="BL190" s="2"/>
    </row>
    <row r="191" ht="18.75" hidden="1" customHeight="1">
      <c r="A191" s="2"/>
      <c r="B191" s="268" t="str">
        <f t="shared" si="44"/>
        <v>Vorkath - Jar of Decay</v>
      </c>
      <c r="C191" s="269"/>
      <c r="D191" s="269"/>
      <c r="E191" s="269"/>
      <c r="F191" s="269"/>
      <c r="G191" s="270"/>
      <c r="H191" s="271" t="s">
        <v>589</v>
      </c>
      <c r="I191" s="269"/>
      <c r="J191" s="270"/>
      <c r="K191" s="272">
        <f t="shared" si="4"/>
        <v>10</v>
      </c>
      <c r="L191" s="271">
        <f t="shared" si="45"/>
        <v>8</v>
      </c>
      <c r="M191" s="269"/>
      <c r="N191" s="270"/>
      <c r="O191" s="273">
        <f t="shared" si="46"/>
        <v>3</v>
      </c>
      <c r="P191" s="269"/>
      <c r="Q191" s="270"/>
      <c r="R191" s="274">
        <f t="shared" si="7"/>
        <v>3.75</v>
      </c>
      <c r="S191" s="269"/>
      <c r="T191" s="275"/>
      <c r="U191" s="2"/>
      <c r="V191" s="2"/>
      <c r="W191" s="285" t="s">
        <v>370</v>
      </c>
      <c r="X191" s="269"/>
      <c r="Y191" s="269"/>
      <c r="Z191" s="269"/>
      <c r="AA191" s="269"/>
      <c r="AB191" s="281"/>
      <c r="AC191" s="280">
        <v>6854165.0</v>
      </c>
      <c r="AD191" s="269"/>
      <c r="AE191" s="269"/>
      <c r="AF191" s="281"/>
      <c r="AG191" s="289" t="s">
        <v>731</v>
      </c>
      <c r="AH191" s="287"/>
      <c r="AI191" s="287"/>
      <c r="AJ191" s="287"/>
      <c r="AK191" s="287"/>
      <c r="AL191" s="287"/>
      <c r="AM191" s="287"/>
      <c r="AN191" s="287"/>
      <c r="AO191" s="287"/>
      <c r="AP191" s="287"/>
      <c r="AQ191" s="288"/>
      <c r="AR191" s="2"/>
      <c r="AS191" s="2"/>
      <c r="AT191" s="2"/>
      <c r="AU191" s="2"/>
      <c r="AV191" s="2"/>
      <c r="AW191" s="2"/>
      <c r="AX191" s="2"/>
      <c r="AY191" s="2"/>
      <c r="AZ191" s="2"/>
      <c r="BA191" s="2"/>
      <c r="BB191" s="2"/>
      <c r="BC191" s="2"/>
      <c r="BD191" s="2"/>
      <c r="BE191" s="2"/>
      <c r="BF191" s="2"/>
      <c r="BG191" s="2"/>
      <c r="BH191" s="2"/>
      <c r="BI191" s="2"/>
      <c r="BJ191" s="2"/>
      <c r="BK191" s="2"/>
      <c r="BL191" s="2"/>
    </row>
    <row r="192" ht="18.75" hidden="1" customHeight="1">
      <c r="A192" s="2"/>
      <c r="B192" s="268" t="str">
        <f t="shared" si="44"/>
        <v>Vorkath - Vorki</v>
      </c>
      <c r="C192" s="269"/>
      <c r="D192" s="269"/>
      <c r="E192" s="269"/>
      <c r="F192" s="269"/>
      <c r="G192" s="270"/>
      <c r="H192" s="271" t="s">
        <v>589</v>
      </c>
      <c r="I192" s="269"/>
      <c r="J192" s="270"/>
      <c r="K192" s="272">
        <f t="shared" si="4"/>
        <v>10</v>
      </c>
      <c r="L192" s="271">
        <f t="shared" si="45"/>
        <v>8</v>
      </c>
      <c r="M192" s="269"/>
      <c r="N192" s="270"/>
      <c r="O192" s="273">
        <f t="shared" si="46"/>
        <v>3</v>
      </c>
      <c r="P192" s="269"/>
      <c r="Q192" s="270"/>
      <c r="R192" s="274">
        <f t="shared" si="7"/>
        <v>3.75</v>
      </c>
      <c r="S192" s="269"/>
      <c r="T192" s="275"/>
      <c r="U192" s="2"/>
      <c r="V192" s="2"/>
      <c r="W192" s="285" t="s">
        <v>389</v>
      </c>
      <c r="X192" s="269"/>
      <c r="Y192" s="269"/>
      <c r="Z192" s="269"/>
      <c r="AA192" s="269"/>
      <c r="AB192" s="281"/>
      <c r="AC192" s="280">
        <v>6268567.0</v>
      </c>
      <c r="AD192" s="269"/>
      <c r="AE192" s="269"/>
      <c r="AF192" s="281"/>
      <c r="AG192" s="289" t="s">
        <v>205</v>
      </c>
      <c r="AH192" s="287"/>
      <c r="AI192" s="287"/>
      <c r="AJ192" s="287"/>
      <c r="AK192" s="287"/>
      <c r="AL192" s="287"/>
      <c r="AM192" s="287"/>
      <c r="AN192" s="287"/>
      <c r="AO192" s="287"/>
      <c r="AP192" s="287"/>
      <c r="AQ192" s="288"/>
      <c r="AR192" s="2"/>
      <c r="AS192" s="2"/>
      <c r="AT192" s="2"/>
      <c r="AU192" s="2"/>
      <c r="AV192" s="2"/>
      <c r="AW192" s="2"/>
      <c r="AX192" s="2"/>
      <c r="AY192" s="2"/>
      <c r="AZ192" s="2"/>
      <c r="BA192" s="2"/>
      <c r="BB192" s="2"/>
      <c r="BC192" s="2"/>
      <c r="BD192" s="2"/>
      <c r="BE192" s="2"/>
      <c r="BF192" s="2"/>
      <c r="BG192" s="2"/>
      <c r="BH192" s="2"/>
      <c r="BI192" s="2"/>
      <c r="BJ192" s="2"/>
      <c r="BK192" s="2"/>
      <c r="BL192" s="2"/>
    </row>
    <row r="193" ht="18.75" hidden="1" customHeight="1">
      <c r="A193" s="2"/>
      <c r="B193" s="268" t="str">
        <f t="shared" ref="B193:B198" si="47">$W$23 &amp; " - " &amp; W25</f>
        <v>Tombs of Amascut - Osmunten's Fang</v>
      </c>
      <c r="C193" s="269"/>
      <c r="D193" s="269"/>
      <c r="E193" s="269"/>
      <c r="F193" s="269"/>
      <c r="G193" s="270"/>
      <c r="H193" s="271" t="s">
        <v>603</v>
      </c>
      <c r="I193" s="269"/>
      <c r="J193" s="270"/>
      <c r="K193" s="272">
        <f t="shared" si="4"/>
        <v>20</v>
      </c>
      <c r="L193" s="271">
        <f t="shared" ref="L193:L198" si="48">$AF$23</f>
        <v>4</v>
      </c>
      <c r="M193" s="269"/>
      <c r="N193" s="270"/>
      <c r="O193" s="273">
        <f t="shared" ref="O193:O198" si="49">AE25</f>
        <v>1</v>
      </c>
      <c r="P193" s="269"/>
      <c r="Q193" s="270"/>
      <c r="R193" s="274">
        <f t="shared" si="7"/>
        <v>5</v>
      </c>
      <c r="S193" s="269"/>
      <c r="T193" s="275"/>
      <c r="U193" s="2"/>
      <c r="V193" s="2"/>
      <c r="W193" s="285" t="s">
        <v>383</v>
      </c>
      <c r="X193" s="269"/>
      <c r="Y193" s="269"/>
      <c r="Z193" s="269"/>
      <c r="AA193" s="269"/>
      <c r="AB193" s="281"/>
      <c r="AC193" s="280">
        <v>1265921.0</v>
      </c>
      <c r="AD193" s="269"/>
      <c r="AE193" s="269"/>
      <c r="AF193" s="281"/>
      <c r="AG193" s="289" t="s">
        <v>732</v>
      </c>
      <c r="AH193" s="287"/>
      <c r="AI193" s="287"/>
      <c r="AJ193" s="287"/>
      <c r="AK193" s="287"/>
      <c r="AL193" s="287"/>
      <c r="AM193" s="287"/>
      <c r="AN193" s="287"/>
      <c r="AO193" s="287"/>
      <c r="AP193" s="287"/>
      <c r="AQ193" s="288"/>
      <c r="AR193" s="2"/>
      <c r="AS193" s="2"/>
      <c r="AT193" s="2"/>
      <c r="AU193" s="2"/>
      <c r="AV193" s="2"/>
      <c r="AW193" s="2"/>
      <c r="AX193" s="2"/>
      <c r="AY193" s="2"/>
      <c r="AZ193" s="2"/>
      <c r="BA193" s="2"/>
      <c r="BB193" s="2"/>
      <c r="BC193" s="2"/>
      <c r="BD193" s="2"/>
      <c r="BE193" s="2"/>
      <c r="BF193" s="2"/>
      <c r="BG193" s="2"/>
      <c r="BH193" s="2"/>
      <c r="BI193" s="2"/>
      <c r="BJ193" s="2"/>
      <c r="BK193" s="2"/>
      <c r="BL193" s="2"/>
    </row>
    <row r="194" ht="18.75" hidden="1" customHeight="1">
      <c r="A194" s="2"/>
      <c r="B194" s="268" t="str">
        <f t="shared" si="47"/>
        <v>Tombs of Amascut - Lightbearer</v>
      </c>
      <c r="C194" s="269"/>
      <c r="D194" s="269"/>
      <c r="E194" s="269"/>
      <c r="F194" s="269"/>
      <c r="G194" s="270"/>
      <c r="H194" s="271" t="s">
        <v>603</v>
      </c>
      <c r="I194" s="269"/>
      <c r="J194" s="270"/>
      <c r="K194" s="272">
        <f t="shared" si="4"/>
        <v>20</v>
      </c>
      <c r="L194" s="271">
        <f t="shared" si="48"/>
        <v>4</v>
      </c>
      <c r="M194" s="269"/>
      <c r="N194" s="270"/>
      <c r="O194" s="273">
        <f t="shared" si="49"/>
        <v>1</v>
      </c>
      <c r="P194" s="269"/>
      <c r="Q194" s="270"/>
      <c r="R194" s="274">
        <f t="shared" si="7"/>
        <v>5</v>
      </c>
      <c r="S194" s="269"/>
      <c r="T194" s="275"/>
      <c r="U194" s="2"/>
      <c r="V194" s="2"/>
      <c r="W194" s="285" t="s">
        <v>733</v>
      </c>
      <c r="X194" s="269"/>
      <c r="Y194" s="269"/>
      <c r="Z194" s="269"/>
      <c r="AA194" s="269"/>
      <c r="AB194" s="281"/>
      <c r="AC194" s="280">
        <v>813408.0</v>
      </c>
      <c r="AD194" s="269"/>
      <c r="AE194" s="269"/>
      <c r="AF194" s="281"/>
      <c r="AG194" s="289" t="s">
        <v>734</v>
      </c>
      <c r="AH194" s="287"/>
      <c r="AI194" s="287"/>
      <c r="AJ194" s="287"/>
      <c r="AK194" s="287"/>
      <c r="AL194" s="287"/>
      <c r="AM194" s="287"/>
      <c r="AN194" s="287"/>
      <c r="AO194" s="287"/>
      <c r="AP194" s="287"/>
      <c r="AQ194" s="288"/>
      <c r="AR194" s="2"/>
      <c r="AS194" s="2"/>
      <c r="AT194" s="2"/>
      <c r="AU194" s="2"/>
      <c r="AV194" s="2"/>
      <c r="AW194" s="2"/>
      <c r="AX194" s="2"/>
      <c r="AY194" s="2"/>
      <c r="AZ194" s="2"/>
      <c r="BA194" s="2"/>
      <c r="BB194" s="2"/>
      <c r="BC194" s="2"/>
      <c r="BD194" s="2"/>
      <c r="BE194" s="2"/>
      <c r="BF194" s="2"/>
      <c r="BG194" s="2"/>
      <c r="BH194" s="2"/>
      <c r="BI194" s="2"/>
      <c r="BJ194" s="2"/>
      <c r="BK194" s="2"/>
      <c r="BL194" s="2"/>
    </row>
    <row r="195" ht="18.75" hidden="1" customHeight="1">
      <c r="A195" s="2"/>
      <c r="B195" s="268" t="str">
        <f t="shared" si="47"/>
        <v>Tombs of Amascut - Elidinis' Ward</v>
      </c>
      <c r="C195" s="269"/>
      <c r="D195" s="269"/>
      <c r="E195" s="269"/>
      <c r="F195" s="269"/>
      <c r="G195" s="270"/>
      <c r="H195" s="271" t="s">
        <v>603</v>
      </c>
      <c r="I195" s="269"/>
      <c r="J195" s="270"/>
      <c r="K195" s="272">
        <f t="shared" si="4"/>
        <v>20</v>
      </c>
      <c r="L195" s="271">
        <f t="shared" si="48"/>
        <v>4</v>
      </c>
      <c r="M195" s="269"/>
      <c r="N195" s="270"/>
      <c r="O195" s="273">
        <f t="shared" si="49"/>
        <v>2</v>
      </c>
      <c r="P195" s="269"/>
      <c r="Q195" s="270"/>
      <c r="R195" s="274">
        <f t="shared" si="7"/>
        <v>10</v>
      </c>
      <c r="S195" s="269"/>
      <c r="T195" s="275"/>
      <c r="U195" s="2"/>
      <c r="V195" s="2"/>
      <c r="W195" s="285" t="s">
        <v>735</v>
      </c>
      <c r="X195" s="269"/>
      <c r="Y195" s="269"/>
      <c r="Z195" s="269"/>
      <c r="AA195" s="269"/>
      <c r="AB195" s="281"/>
      <c r="AC195" s="280">
        <v>158200.0</v>
      </c>
      <c r="AD195" s="269"/>
      <c r="AE195" s="269"/>
      <c r="AF195" s="281"/>
      <c r="AG195" s="289" t="s">
        <v>736</v>
      </c>
      <c r="AH195" s="287"/>
      <c r="AI195" s="287"/>
      <c r="AJ195" s="287"/>
      <c r="AK195" s="287"/>
      <c r="AL195" s="287"/>
      <c r="AM195" s="287"/>
      <c r="AN195" s="287"/>
      <c r="AO195" s="287"/>
      <c r="AP195" s="287"/>
      <c r="AQ195" s="288"/>
      <c r="AR195" s="2"/>
      <c r="AS195" s="2"/>
      <c r="AT195" s="2"/>
      <c r="AU195" s="2"/>
      <c r="AV195" s="2"/>
      <c r="AW195" s="2"/>
      <c r="AX195" s="2"/>
      <c r="AY195" s="2"/>
      <c r="AZ195" s="2"/>
      <c r="BA195" s="2"/>
      <c r="BB195" s="2"/>
      <c r="BC195" s="2"/>
      <c r="BD195" s="2"/>
      <c r="BE195" s="2"/>
      <c r="BF195" s="2"/>
      <c r="BG195" s="2"/>
      <c r="BH195" s="2"/>
      <c r="BI195" s="2"/>
      <c r="BJ195" s="2"/>
      <c r="BK195" s="2"/>
      <c r="BL195" s="2"/>
    </row>
    <row r="196" ht="18.75" hidden="1" customHeight="1">
      <c r="A196" s="2"/>
      <c r="B196" s="268" t="str">
        <f t="shared" si="47"/>
        <v>Tombs of Amascut - Masori Piece (any)</v>
      </c>
      <c r="C196" s="269"/>
      <c r="D196" s="269"/>
      <c r="E196" s="269"/>
      <c r="F196" s="269"/>
      <c r="G196" s="270"/>
      <c r="H196" s="271" t="s">
        <v>603</v>
      </c>
      <c r="I196" s="269"/>
      <c r="J196" s="270"/>
      <c r="K196" s="272">
        <f t="shared" si="4"/>
        <v>20</v>
      </c>
      <c r="L196" s="271">
        <f t="shared" si="48"/>
        <v>4</v>
      </c>
      <c r="M196" s="269"/>
      <c r="N196" s="270"/>
      <c r="O196" s="273">
        <f t="shared" si="49"/>
        <v>2</v>
      </c>
      <c r="P196" s="269"/>
      <c r="Q196" s="270"/>
      <c r="R196" s="274">
        <f t="shared" si="7"/>
        <v>10</v>
      </c>
      <c r="S196" s="269"/>
      <c r="T196" s="275"/>
      <c r="U196" s="2"/>
      <c r="V196" s="2"/>
      <c r="W196" s="285" t="s">
        <v>737</v>
      </c>
      <c r="X196" s="269"/>
      <c r="Y196" s="269"/>
      <c r="Z196" s="269"/>
      <c r="AA196" s="269"/>
      <c r="AB196" s="281"/>
      <c r="AC196" s="280">
        <v>157986.0</v>
      </c>
      <c r="AD196" s="269"/>
      <c r="AE196" s="269"/>
      <c r="AF196" s="281"/>
      <c r="AG196" s="289" t="s">
        <v>738</v>
      </c>
      <c r="AH196" s="287"/>
      <c r="AI196" s="287"/>
      <c r="AJ196" s="287"/>
      <c r="AK196" s="287"/>
      <c r="AL196" s="287"/>
      <c r="AM196" s="287"/>
      <c r="AN196" s="287"/>
      <c r="AO196" s="287"/>
      <c r="AP196" s="287"/>
      <c r="AQ196" s="288"/>
      <c r="AR196" s="2"/>
      <c r="AS196" s="2"/>
      <c r="AT196" s="2"/>
      <c r="AU196" s="2"/>
      <c r="AV196" s="2"/>
      <c r="AW196" s="2"/>
      <c r="AX196" s="2"/>
      <c r="AY196" s="2"/>
      <c r="AZ196" s="2"/>
      <c r="BA196" s="2"/>
      <c r="BB196" s="2"/>
      <c r="BC196" s="2"/>
      <c r="BD196" s="2"/>
      <c r="BE196" s="2"/>
      <c r="BF196" s="2"/>
      <c r="BG196" s="2"/>
      <c r="BH196" s="2"/>
      <c r="BI196" s="2"/>
      <c r="BJ196" s="2"/>
      <c r="BK196" s="2"/>
      <c r="BL196" s="2"/>
    </row>
    <row r="197" ht="18.75" hidden="1" customHeight="1">
      <c r="A197" s="2"/>
      <c r="B197" s="268" t="str">
        <f t="shared" si="47"/>
        <v>Tombs of Amascut - Tumeken's Shadow</v>
      </c>
      <c r="C197" s="269"/>
      <c r="D197" s="269"/>
      <c r="E197" s="269"/>
      <c r="F197" s="269"/>
      <c r="G197" s="270"/>
      <c r="H197" s="271" t="s">
        <v>603</v>
      </c>
      <c r="I197" s="269"/>
      <c r="J197" s="270"/>
      <c r="K197" s="272">
        <f t="shared" si="4"/>
        <v>20</v>
      </c>
      <c r="L197" s="271">
        <f t="shared" si="48"/>
        <v>4</v>
      </c>
      <c r="M197" s="269"/>
      <c r="N197" s="270"/>
      <c r="O197" s="273">
        <f t="shared" si="49"/>
        <v>3</v>
      </c>
      <c r="P197" s="269"/>
      <c r="Q197" s="270"/>
      <c r="R197" s="274">
        <f t="shared" si="7"/>
        <v>15</v>
      </c>
      <c r="S197" s="269"/>
      <c r="T197" s="275"/>
      <c r="U197" s="2"/>
      <c r="V197" s="2"/>
      <c r="W197" s="285" t="s">
        <v>739</v>
      </c>
      <c r="X197" s="269"/>
      <c r="Y197" s="269"/>
      <c r="Z197" s="269"/>
      <c r="AA197" s="269"/>
      <c r="AB197" s="281"/>
      <c r="AC197" s="280">
        <v>152657.0</v>
      </c>
      <c r="AD197" s="269"/>
      <c r="AE197" s="269"/>
      <c r="AF197" s="281"/>
      <c r="AG197" s="289" t="s">
        <v>740</v>
      </c>
      <c r="AH197" s="287"/>
      <c r="AI197" s="287"/>
      <c r="AJ197" s="287"/>
      <c r="AK197" s="287"/>
      <c r="AL197" s="287"/>
      <c r="AM197" s="287"/>
      <c r="AN197" s="287"/>
      <c r="AO197" s="287"/>
      <c r="AP197" s="287"/>
      <c r="AQ197" s="288"/>
      <c r="AR197" s="2"/>
      <c r="AS197" s="2"/>
      <c r="AT197" s="2"/>
      <c r="AU197" s="2"/>
      <c r="AV197" s="2"/>
      <c r="AW197" s="2"/>
      <c r="AX197" s="2"/>
      <c r="AY197" s="2"/>
      <c r="AZ197" s="2"/>
      <c r="BA197" s="2"/>
      <c r="BB197" s="2"/>
      <c r="BC197" s="2"/>
      <c r="BD197" s="2"/>
      <c r="BE197" s="2"/>
      <c r="BF197" s="2"/>
      <c r="BG197" s="2"/>
      <c r="BH197" s="2"/>
      <c r="BI197" s="2"/>
      <c r="BJ197" s="2"/>
      <c r="BK197" s="2"/>
      <c r="BL197" s="2"/>
    </row>
    <row r="198" ht="18.75" hidden="1" customHeight="1">
      <c r="A198" s="2"/>
      <c r="B198" s="268" t="str">
        <f t="shared" si="47"/>
        <v>Tombs of Amascut - Tumeken's Guardian</v>
      </c>
      <c r="C198" s="269"/>
      <c r="D198" s="269"/>
      <c r="E198" s="269"/>
      <c r="F198" s="269"/>
      <c r="G198" s="270"/>
      <c r="H198" s="271" t="s">
        <v>603</v>
      </c>
      <c r="I198" s="269"/>
      <c r="J198" s="270"/>
      <c r="K198" s="272">
        <f t="shared" si="4"/>
        <v>20</v>
      </c>
      <c r="L198" s="271">
        <f t="shared" si="48"/>
        <v>4</v>
      </c>
      <c r="M198" s="269"/>
      <c r="N198" s="270"/>
      <c r="O198" s="273">
        <f t="shared" si="49"/>
        <v>3</v>
      </c>
      <c r="P198" s="269"/>
      <c r="Q198" s="270"/>
      <c r="R198" s="274">
        <f t="shared" si="7"/>
        <v>15</v>
      </c>
      <c r="S198" s="269"/>
      <c r="T198" s="275"/>
      <c r="U198" s="2"/>
      <c r="V198" s="2"/>
      <c r="W198" s="285" t="s">
        <v>329</v>
      </c>
      <c r="X198" s="269"/>
      <c r="Y198" s="269"/>
      <c r="Z198" s="269"/>
      <c r="AA198" s="269"/>
      <c r="AB198" s="281"/>
      <c r="AC198" s="280">
        <v>121229.0</v>
      </c>
      <c r="AD198" s="269"/>
      <c r="AE198" s="269"/>
      <c r="AF198" s="281"/>
      <c r="AG198" s="289" t="s">
        <v>167</v>
      </c>
      <c r="AH198" s="287"/>
      <c r="AI198" s="287"/>
      <c r="AJ198" s="287"/>
      <c r="AK198" s="287"/>
      <c r="AL198" s="287"/>
      <c r="AM198" s="287"/>
      <c r="AN198" s="287"/>
      <c r="AO198" s="287"/>
      <c r="AP198" s="287"/>
      <c r="AQ198" s="288"/>
      <c r="AR198" s="2"/>
      <c r="AS198" s="2"/>
      <c r="AT198" s="2"/>
      <c r="AU198" s="2"/>
      <c r="AV198" s="2"/>
      <c r="AW198" s="2"/>
      <c r="AX198" s="2"/>
      <c r="AY198" s="2"/>
      <c r="AZ198" s="2"/>
      <c r="BA198" s="2"/>
      <c r="BB198" s="2"/>
      <c r="BC198" s="2"/>
      <c r="BD198" s="2"/>
      <c r="BE198" s="2"/>
      <c r="BF198" s="2"/>
      <c r="BG198" s="2"/>
      <c r="BH198" s="2"/>
      <c r="BI198" s="2"/>
      <c r="BJ198" s="2"/>
      <c r="BK198" s="2"/>
      <c r="BL198" s="2"/>
    </row>
    <row r="199" ht="18.75" hidden="1" customHeight="1">
      <c r="A199" s="2"/>
      <c r="B199" s="268" t="str">
        <f t="shared" ref="B199:B204" si="50">$AG$21 &amp; " - " &amp; AG23</f>
        <v>GOTR - Catalytic Talisman</v>
      </c>
      <c r="C199" s="269"/>
      <c r="D199" s="269"/>
      <c r="E199" s="269"/>
      <c r="F199" s="269"/>
      <c r="G199" s="270"/>
      <c r="H199" s="271" t="s">
        <v>578</v>
      </c>
      <c r="I199" s="269"/>
      <c r="J199" s="270"/>
      <c r="K199" s="272">
        <f t="shared" si="4"/>
        <v>5</v>
      </c>
      <c r="L199" s="271">
        <f t="shared" ref="L199:L204" si="51">$AP$21</f>
        <v>10</v>
      </c>
      <c r="M199" s="269"/>
      <c r="N199" s="270"/>
      <c r="O199" s="273">
        <f t="shared" ref="O199:O204" si="52">AO23</f>
        <v>1</v>
      </c>
      <c r="P199" s="269"/>
      <c r="Q199" s="270"/>
      <c r="R199" s="274">
        <f t="shared" si="7"/>
        <v>0.5</v>
      </c>
      <c r="S199" s="269"/>
      <c r="T199" s="275"/>
      <c r="U199" s="2"/>
      <c r="V199" s="2"/>
      <c r="W199" s="285" t="s">
        <v>336</v>
      </c>
      <c r="X199" s="269"/>
      <c r="Y199" s="269"/>
      <c r="Z199" s="269"/>
      <c r="AA199" s="269"/>
      <c r="AB199" s="281"/>
      <c r="AC199" s="280">
        <v>60555.0</v>
      </c>
      <c r="AD199" s="269"/>
      <c r="AE199" s="269"/>
      <c r="AF199" s="281"/>
      <c r="AG199" s="289" t="s">
        <v>741</v>
      </c>
      <c r="AH199" s="287"/>
      <c r="AI199" s="287"/>
      <c r="AJ199" s="287"/>
      <c r="AK199" s="287"/>
      <c r="AL199" s="287"/>
      <c r="AM199" s="287"/>
      <c r="AN199" s="287"/>
      <c r="AO199" s="287"/>
      <c r="AP199" s="287"/>
      <c r="AQ199" s="288"/>
      <c r="AR199" s="2"/>
      <c r="AS199" s="2"/>
      <c r="AT199" s="2"/>
      <c r="AU199" s="2"/>
      <c r="AV199" s="2"/>
      <c r="AW199" s="2"/>
      <c r="AX199" s="2"/>
      <c r="AY199" s="2"/>
      <c r="AZ199" s="2"/>
      <c r="BA199" s="2"/>
      <c r="BB199" s="2"/>
      <c r="BC199" s="2"/>
      <c r="BD199" s="2"/>
      <c r="BE199" s="2"/>
      <c r="BF199" s="2"/>
      <c r="BG199" s="2"/>
      <c r="BH199" s="2"/>
      <c r="BI199" s="2"/>
      <c r="BJ199" s="2"/>
      <c r="BK199" s="2"/>
      <c r="BL199" s="2"/>
    </row>
    <row r="200" ht="18.75" hidden="1" customHeight="1">
      <c r="A200" s="2"/>
      <c r="B200" s="268" t="str">
        <f t="shared" si="50"/>
        <v>GOTR - Elemental Talisman</v>
      </c>
      <c r="C200" s="269"/>
      <c r="D200" s="269"/>
      <c r="E200" s="269"/>
      <c r="F200" s="269"/>
      <c r="G200" s="270"/>
      <c r="H200" s="271" t="s">
        <v>578</v>
      </c>
      <c r="I200" s="269"/>
      <c r="J200" s="270"/>
      <c r="K200" s="272">
        <f t="shared" si="4"/>
        <v>5</v>
      </c>
      <c r="L200" s="271">
        <f t="shared" si="51"/>
        <v>10</v>
      </c>
      <c r="M200" s="269"/>
      <c r="N200" s="270"/>
      <c r="O200" s="273">
        <f t="shared" si="52"/>
        <v>1</v>
      </c>
      <c r="P200" s="269"/>
      <c r="Q200" s="270"/>
      <c r="R200" s="274">
        <f t="shared" si="7"/>
        <v>0.5</v>
      </c>
      <c r="S200" s="269"/>
      <c r="T200" s="275"/>
      <c r="U200" s="2"/>
      <c r="V200" s="2"/>
      <c r="W200" s="285" t="s">
        <v>377</v>
      </c>
      <c r="X200" s="269"/>
      <c r="Y200" s="269"/>
      <c r="Z200" s="269"/>
      <c r="AA200" s="269"/>
      <c r="AB200" s="281"/>
      <c r="AC200" s="280">
        <v>46166.0</v>
      </c>
      <c r="AD200" s="269"/>
      <c r="AE200" s="269"/>
      <c r="AF200" s="281"/>
      <c r="AG200" s="289" t="s">
        <v>742</v>
      </c>
      <c r="AH200" s="287"/>
      <c r="AI200" s="287"/>
      <c r="AJ200" s="287"/>
      <c r="AK200" s="287"/>
      <c r="AL200" s="287"/>
      <c r="AM200" s="287"/>
      <c r="AN200" s="287"/>
      <c r="AO200" s="287"/>
      <c r="AP200" s="287"/>
      <c r="AQ200" s="288"/>
      <c r="AR200" s="2"/>
      <c r="AS200" s="2"/>
      <c r="AT200" s="2"/>
      <c r="AU200" s="2"/>
      <c r="AV200" s="2"/>
      <c r="AW200" s="2"/>
      <c r="AX200" s="2"/>
      <c r="AY200" s="2"/>
      <c r="AZ200" s="2"/>
      <c r="BA200" s="2"/>
      <c r="BB200" s="2"/>
      <c r="BC200" s="2"/>
      <c r="BD200" s="2"/>
      <c r="BE200" s="2"/>
      <c r="BF200" s="2"/>
      <c r="BG200" s="2"/>
      <c r="BH200" s="2"/>
      <c r="BI200" s="2"/>
      <c r="BJ200" s="2"/>
      <c r="BK200" s="2"/>
      <c r="BL200" s="2"/>
    </row>
    <row r="201" ht="18.75" hidden="1" customHeight="1">
      <c r="A201" s="2"/>
      <c r="B201" s="268" t="str">
        <f t="shared" si="50"/>
        <v>GOTR - Abyssal Needle</v>
      </c>
      <c r="C201" s="269"/>
      <c r="D201" s="269"/>
      <c r="E201" s="269"/>
      <c r="F201" s="269"/>
      <c r="G201" s="270"/>
      <c r="H201" s="271" t="s">
        <v>578</v>
      </c>
      <c r="I201" s="269"/>
      <c r="J201" s="270"/>
      <c r="K201" s="272">
        <f t="shared" si="4"/>
        <v>5</v>
      </c>
      <c r="L201" s="271">
        <f t="shared" si="51"/>
        <v>10</v>
      </c>
      <c r="M201" s="269"/>
      <c r="N201" s="270"/>
      <c r="O201" s="273">
        <f t="shared" si="52"/>
        <v>1</v>
      </c>
      <c r="P201" s="269"/>
      <c r="Q201" s="270"/>
      <c r="R201" s="274">
        <f t="shared" si="7"/>
        <v>0.5</v>
      </c>
      <c r="S201" s="269"/>
      <c r="T201" s="275"/>
      <c r="U201" s="2"/>
      <c r="V201" s="2"/>
      <c r="W201" s="285" t="s">
        <v>268</v>
      </c>
      <c r="X201" s="269"/>
      <c r="Y201" s="269"/>
      <c r="Z201" s="269"/>
      <c r="AA201" s="269"/>
      <c r="AB201" s="281"/>
      <c r="AC201" s="280">
        <v>1.0453238E7</v>
      </c>
      <c r="AD201" s="269"/>
      <c r="AE201" s="269"/>
      <c r="AF201" s="281"/>
      <c r="AG201" s="289" t="s">
        <v>743</v>
      </c>
      <c r="AH201" s="287"/>
      <c r="AI201" s="287"/>
      <c r="AJ201" s="287"/>
      <c r="AK201" s="287"/>
      <c r="AL201" s="287"/>
      <c r="AM201" s="287"/>
      <c r="AN201" s="287"/>
      <c r="AO201" s="287"/>
      <c r="AP201" s="287"/>
      <c r="AQ201" s="288"/>
      <c r="AR201" s="2"/>
      <c r="AS201" s="2"/>
      <c r="AT201" s="2"/>
      <c r="AU201" s="2"/>
      <c r="AV201" s="2"/>
      <c r="AW201" s="2"/>
      <c r="AX201" s="2"/>
      <c r="AY201" s="2"/>
      <c r="AZ201" s="2"/>
      <c r="BA201" s="2"/>
      <c r="BB201" s="2"/>
      <c r="BC201" s="2"/>
      <c r="BD201" s="2"/>
      <c r="BE201" s="2"/>
      <c r="BF201" s="2"/>
      <c r="BG201" s="2"/>
      <c r="BH201" s="2"/>
      <c r="BI201" s="2"/>
      <c r="BJ201" s="2"/>
      <c r="BK201" s="2"/>
      <c r="BL201" s="2"/>
    </row>
    <row r="202" ht="18.75" hidden="1" customHeight="1">
      <c r="A202" s="2"/>
      <c r="B202" s="268" t="str">
        <f t="shared" si="50"/>
        <v>GOTR - Abyssal Lantern</v>
      </c>
      <c r="C202" s="269"/>
      <c r="D202" s="269"/>
      <c r="E202" s="269"/>
      <c r="F202" s="269"/>
      <c r="G202" s="270"/>
      <c r="H202" s="271" t="s">
        <v>578</v>
      </c>
      <c r="I202" s="269"/>
      <c r="J202" s="270"/>
      <c r="K202" s="272">
        <f t="shared" si="4"/>
        <v>5</v>
      </c>
      <c r="L202" s="271">
        <f t="shared" si="51"/>
        <v>10</v>
      </c>
      <c r="M202" s="269"/>
      <c r="N202" s="270"/>
      <c r="O202" s="273">
        <f t="shared" si="52"/>
        <v>1</v>
      </c>
      <c r="P202" s="269"/>
      <c r="Q202" s="270"/>
      <c r="R202" s="274">
        <f t="shared" si="7"/>
        <v>0.5</v>
      </c>
      <c r="S202" s="269"/>
      <c r="T202" s="275"/>
      <c r="U202" s="2"/>
      <c r="V202" s="2"/>
      <c r="W202" s="285" t="s">
        <v>272</v>
      </c>
      <c r="X202" s="269"/>
      <c r="Y202" s="269"/>
      <c r="Z202" s="269"/>
      <c r="AA202" s="269"/>
      <c r="AB202" s="281"/>
      <c r="AC202" s="280">
        <v>556768.0</v>
      </c>
      <c r="AD202" s="269"/>
      <c r="AE202" s="269"/>
      <c r="AF202" s="281"/>
      <c r="AG202" s="289" t="s">
        <v>126</v>
      </c>
      <c r="AH202" s="287"/>
      <c r="AI202" s="287"/>
      <c r="AJ202" s="287"/>
      <c r="AK202" s="287"/>
      <c r="AL202" s="287"/>
      <c r="AM202" s="287"/>
      <c r="AN202" s="287"/>
      <c r="AO202" s="287"/>
      <c r="AP202" s="287"/>
      <c r="AQ202" s="288"/>
      <c r="AR202" s="2"/>
      <c r="AS202" s="2"/>
      <c r="AT202" s="2"/>
      <c r="AU202" s="2"/>
      <c r="AV202" s="2"/>
      <c r="AW202" s="2"/>
      <c r="AX202" s="2"/>
      <c r="AY202" s="2"/>
      <c r="AZ202" s="2"/>
      <c r="BA202" s="2"/>
      <c r="BB202" s="2"/>
      <c r="BC202" s="2"/>
      <c r="BD202" s="2"/>
      <c r="BE202" s="2"/>
      <c r="BF202" s="2"/>
      <c r="BG202" s="2"/>
      <c r="BH202" s="2"/>
      <c r="BI202" s="2"/>
      <c r="BJ202" s="2"/>
      <c r="BK202" s="2"/>
      <c r="BL202" s="2"/>
    </row>
    <row r="203" ht="18.75" hidden="1" customHeight="1">
      <c r="A203" s="2"/>
      <c r="B203" s="268" t="str">
        <f t="shared" si="50"/>
        <v>GOTR - Abyssal Dye (any)</v>
      </c>
      <c r="C203" s="269"/>
      <c r="D203" s="269"/>
      <c r="E203" s="269"/>
      <c r="F203" s="269"/>
      <c r="G203" s="270"/>
      <c r="H203" s="271" t="s">
        <v>578</v>
      </c>
      <c r="I203" s="269"/>
      <c r="J203" s="270"/>
      <c r="K203" s="272">
        <f t="shared" si="4"/>
        <v>5</v>
      </c>
      <c r="L203" s="271">
        <f t="shared" si="51"/>
        <v>10</v>
      </c>
      <c r="M203" s="269"/>
      <c r="N203" s="270"/>
      <c r="O203" s="273">
        <f t="shared" si="52"/>
        <v>2</v>
      </c>
      <c r="P203" s="269"/>
      <c r="Q203" s="270"/>
      <c r="R203" s="274">
        <f t="shared" si="7"/>
        <v>1</v>
      </c>
      <c r="S203" s="269"/>
      <c r="T203" s="275"/>
      <c r="U203" s="2"/>
      <c r="V203" s="2"/>
      <c r="W203" s="285" t="s">
        <v>240</v>
      </c>
      <c r="X203" s="269"/>
      <c r="Y203" s="269"/>
      <c r="Z203" s="269"/>
      <c r="AA203" s="269"/>
      <c r="AB203" s="281"/>
      <c r="AC203" s="280">
        <v>87651.0</v>
      </c>
      <c r="AD203" s="269"/>
      <c r="AE203" s="269"/>
      <c r="AF203" s="281"/>
      <c r="AG203" s="289" t="s">
        <v>183</v>
      </c>
      <c r="AH203" s="287"/>
      <c r="AI203" s="287"/>
      <c r="AJ203" s="287"/>
      <c r="AK203" s="287"/>
      <c r="AL203" s="287"/>
      <c r="AM203" s="287"/>
      <c r="AN203" s="287"/>
      <c r="AO203" s="287"/>
      <c r="AP203" s="287"/>
      <c r="AQ203" s="288"/>
      <c r="AR203" s="2"/>
      <c r="AS203" s="2"/>
      <c r="AT203" s="2"/>
      <c r="AU203" s="2"/>
      <c r="AV203" s="2"/>
      <c r="AW203" s="2"/>
      <c r="AX203" s="2"/>
      <c r="AY203" s="2"/>
      <c r="AZ203" s="2"/>
      <c r="BA203" s="2"/>
      <c r="BB203" s="2"/>
      <c r="BC203" s="2"/>
      <c r="BD203" s="2"/>
      <c r="BE203" s="2"/>
      <c r="BF203" s="2"/>
      <c r="BG203" s="2"/>
      <c r="BH203" s="2"/>
      <c r="BI203" s="2"/>
      <c r="BJ203" s="2"/>
      <c r="BK203" s="2"/>
      <c r="BL203" s="2"/>
    </row>
    <row r="204" ht="18.75" hidden="1" customHeight="1">
      <c r="A204" s="2"/>
      <c r="B204" s="268" t="str">
        <f t="shared" si="50"/>
        <v>GOTR - Abyssal Protector</v>
      </c>
      <c r="C204" s="269"/>
      <c r="D204" s="269"/>
      <c r="E204" s="269"/>
      <c r="F204" s="269"/>
      <c r="G204" s="270"/>
      <c r="H204" s="271" t="s">
        <v>578</v>
      </c>
      <c r="I204" s="269"/>
      <c r="J204" s="270"/>
      <c r="K204" s="272">
        <f t="shared" si="4"/>
        <v>5</v>
      </c>
      <c r="L204" s="271">
        <f t="shared" si="51"/>
        <v>10</v>
      </c>
      <c r="M204" s="269"/>
      <c r="N204" s="270"/>
      <c r="O204" s="273">
        <f t="shared" si="52"/>
        <v>3</v>
      </c>
      <c r="P204" s="269"/>
      <c r="Q204" s="270"/>
      <c r="R204" s="274">
        <f t="shared" si="7"/>
        <v>1.5</v>
      </c>
      <c r="S204" s="269"/>
      <c r="T204" s="275"/>
      <c r="U204" s="2"/>
      <c r="V204" s="2"/>
      <c r="W204" s="285" t="s">
        <v>260</v>
      </c>
      <c r="X204" s="269"/>
      <c r="Y204" s="269"/>
      <c r="Z204" s="269"/>
      <c r="AA204" s="269"/>
      <c r="AB204" s="281"/>
      <c r="AC204" s="280">
        <v>27974.0</v>
      </c>
      <c r="AD204" s="269"/>
      <c r="AE204" s="269"/>
      <c r="AF204" s="281"/>
      <c r="AG204" s="289" t="s">
        <v>182</v>
      </c>
      <c r="AH204" s="287"/>
      <c r="AI204" s="287"/>
      <c r="AJ204" s="287"/>
      <c r="AK204" s="287"/>
      <c r="AL204" s="287"/>
      <c r="AM204" s="287"/>
      <c r="AN204" s="287"/>
      <c r="AO204" s="287"/>
      <c r="AP204" s="287"/>
      <c r="AQ204" s="288"/>
      <c r="AR204" s="2"/>
      <c r="AS204" s="2"/>
      <c r="AT204" s="2"/>
      <c r="AU204" s="2"/>
      <c r="AV204" s="2"/>
      <c r="AW204" s="2"/>
      <c r="AX204" s="2"/>
      <c r="AY204" s="2"/>
      <c r="AZ204" s="2"/>
      <c r="BA204" s="2"/>
      <c r="BB204" s="2"/>
      <c r="BC204" s="2"/>
      <c r="BD204" s="2"/>
      <c r="BE204" s="2"/>
      <c r="BF204" s="2"/>
      <c r="BG204" s="2"/>
      <c r="BH204" s="2"/>
      <c r="BI204" s="2"/>
      <c r="BJ204" s="2"/>
      <c r="BK204" s="2"/>
      <c r="BL204" s="2"/>
    </row>
    <row r="205" ht="18.75" hidden="1" customHeight="1">
      <c r="A205" s="2"/>
      <c r="B205" s="268" t="str">
        <f t="shared" ref="B205:B206" si="53">$AQ$39 &amp; " - " &amp; AQ41</f>
        <v>Phantom Muspah - Venator Shard</v>
      </c>
      <c r="C205" s="269"/>
      <c r="D205" s="269"/>
      <c r="E205" s="269"/>
      <c r="F205" s="269"/>
      <c r="G205" s="270"/>
      <c r="H205" s="271" t="s">
        <v>589</v>
      </c>
      <c r="I205" s="269"/>
      <c r="J205" s="270"/>
      <c r="K205" s="272">
        <f t="shared" si="4"/>
        <v>10</v>
      </c>
      <c r="L205" s="271">
        <f t="shared" ref="L205:L206" si="54">$AZ$39</f>
        <v>5</v>
      </c>
      <c r="M205" s="269"/>
      <c r="N205" s="270"/>
      <c r="O205" s="273">
        <f t="shared" ref="O205:O206" si="55">AY41</f>
        <v>1</v>
      </c>
      <c r="P205" s="269"/>
      <c r="Q205" s="270"/>
      <c r="R205" s="274">
        <f t="shared" si="7"/>
        <v>2</v>
      </c>
      <c r="S205" s="269"/>
      <c r="T205" s="275"/>
      <c r="U205" s="2"/>
      <c r="V205" s="2"/>
      <c r="W205" s="285" t="s">
        <v>251</v>
      </c>
      <c r="X205" s="269"/>
      <c r="Y205" s="269"/>
      <c r="Z205" s="269"/>
      <c r="AA205" s="269"/>
      <c r="AB205" s="281"/>
      <c r="AC205" s="280">
        <v>22720.0</v>
      </c>
      <c r="AD205" s="269"/>
      <c r="AE205" s="269"/>
      <c r="AF205" s="281"/>
      <c r="AG205" s="289" t="s">
        <v>125</v>
      </c>
      <c r="AH205" s="287"/>
      <c r="AI205" s="287"/>
      <c r="AJ205" s="287"/>
      <c r="AK205" s="287"/>
      <c r="AL205" s="287"/>
      <c r="AM205" s="287"/>
      <c r="AN205" s="287"/>
      <c r="AO205" s="287"/>
      <c r="AP205" s="287"/>
      <c r="AQ205" s="288"/>
      <c r="AR205" s="2"/>
      <c r="AS205" s="2"/>
      <c r="AT205" s="2"/>
      <c r="AU205" s="2"/>
      <c r="AV205" s="2"/>
      <c r="AW205" s="2"/>
      <c r="AX205" s="2"/>
      <c r="AY205" s="2"/>
      <c r="AZ205" s="2"/>
      <c r="BA205" s="2"/>
      <c r="BB205" s="2"/>
      <c r="BC205" s="2"/>
      <c r="BD205" s="2"/>
      <c r="BE205" s="2"/>
      <c r="BF205" s="2"/>
      <c r="BG205" s="2"/>
      <c r="BH205" s="2"/>
      <c r="BI205" s="2"/>
      <c r="BJ205" s="2"/>
      <c r="BK205" s="2"/>
      <c r="BL205" s="2"/>
    </row>
    <row r="206" ht="18.75" hidden="1" customHeight="1">
      <c r="A206" s="2"/>
      <c r="B206" s="268" t="str">
        <f t="shared" si="53"/>
        <v>Phantom Muspah - Muphin</v>
      </c>
      <c r="C206" s="269"/>
      <c r="D206" s="269"/>
      <c r="E206" s="269"/>
      <c r="F206" s="269"/>
      <c r="G206" s="270"/>
      <c r="H206" s="271" t="s">
        <v>589</v>
      </c>
      <c r="I206" s="269"/>
      <c r="J206" s="270"/>
      <c r="K206" s="272">
        <f t="shared" si="4"/>
        <v>10</v>
      </c>
      <c r="L206" s="271">
        <f t="shared" si="54"/>
        <v>5</v>
      </c>
      <c r="M206" s="269"/>
      <c r="N206" s="270"/>
      <c r="O206" s="273">
        <f t="shared" si="55"/>
        <v>2</v>
      </c>
      <c r="P206" s="269"/>
      <c r="Q206" s="270"/>
      <c r="R206" s="274">
        <f t="shared" si="7"/>
        <v>4</v>
      </c>
      <c r="S206" s="269"/>
      <c r="T206" s="275"/>
      <c r="U206" s="2"/>
      <c r="V206" s="2"/>
      <c r="W206" s="285" t="s">
        <v>258</v>
      </c>
      <c r="X206" s="269"/>
      <c r="Y206" s="269"/>
      <c r="Z206" s="269"/>
      <c r="AA206" s="269"/>
      <c r="AB206" s="281"/>
      <c r="AC206" s="280">
        <v>8918535.0</v>
      </c>
      <c r="AD206" s="269"/>
      <c r="AE206" s="269"/>
      <c r="AF206" s="281"/>
      <c r="AG206" s="289" t="s">
        <v>744</v>
      </c>
      <c r="AH206" s="287"/>
      <c r="AI206" s="287"/>
      <c r="AJ206" s="287"/>
      <c r="AK206" s="287"/>
      <c r="AL206" s="287"/>
      <c r="AM206" s="287"/>
      <c r="AN206" s="287"/>
      <c r="AO206" s="287"/>
      <c r="AP206" s="287"/>
      <c r="AQ206" s="288"/>
      <c r="AR206" s="2"/>
      <c r="AS206" s="2"/>
      <c r="AT206" s="2"/>
      <c r="AU206" s="2"/>
      <c r="AV206" s="2"/>
      <c r="AW206" s="2"/>
      <c r="AX206" s="2"/>
      <c r="AY206" s="2"/>
      <c r="AZ206" s="2"/>
      <c r="BA206" s="2"/>
      <c r="BB206" s="2"/>
      <c r="BC206" s="2"/>
      <c r="BD206" s="2"/>
      <c r="BE206" s="2"/>
      <c r="BF206" s="2"/>
      <c r="BG206" s="2"/>
      <c r="BH206" s="2"/>
      <c r="BI206" s="2"/>
      <c r="BJ206" s="2"/>
      <c r="BK206" s="2"/>
      <c r="BL206" s="2"/>
    </row>
    <row r="207" ht="18.75" hidden="1" customHeight="1">
      <c r="A207" s="2"/>
      <c r="B207" s="268" t="str">
        <f t="shared" ref="B207:B211" si="56">$BA$29 &amp; " - " &amp; BA31</f>
        <v>Royal Titans - Fire Element Staff Crown</v>
      </c>
      <c r="C207" s="269"/>
      <c r="D207" s="269"/>
      <c r="E207" s="269"/>
      <c r="F207" s="269"/>
      <c r="G207" s="270"/>
      <c r="H207" s="271" t="s">
        <v>578</v>
      </c>
      <c r="I207" s="269"/>
      <c r="J207" s="270"/>
      <c r="K207" s="272">
        <f t="shared" si="4"/>
        <v>5</v>
      </c>
      <c r="L207" s="271">
        <f t="shared" ref="L207:L211" si="57">$BJ$29</f>
        <v>10</v>
      </c>
      <c r="M207" s="269"/>
      <c r="N207" s="270"/>
      <c r="O207" s="273">
        <f t="shared" ref="O207:O211" si="58">BI31</f>
        <v>1</v>
      </c>
      <c r="P207" s="269"/>
      <c r="Q207" s="270"/>
      <c r="R207" s="274">
        <f t="shared" si="7"/>
        <v>0.5</v>
      </c>
      <c r="S207" s="269"/>
      <c r="T207" s="275"/>
      <c r="U207" s="2"/>
      <c r="V207" s="2"/>
      <c r="W207" s="285" t="s">
        <v>249</v>
      </c>
      <c r="X207" s="269"/>
      <c r="Y207" s="269"/>
      <c r="Z207" s="269"/>
      <c r="AA207" s="269"/>
      <c r="AB207" s="281"/>
      <c r="AC207" s="280">
        <v>711117.0</v>
      </c>
      <c r="AD207" s="269"/>
      <c r="AE207" s="269"/>
      <c r="AF207" s="281"/>
      <c r="AG207" s="289" t="s">
        <v>166</v>
      </c>
      <c r="AH207" s="287"/>
      <c r="AI207" s="287"/>
      <c r="AJ207" s="287"/>
      <c r="AK207" s="287"/>
      <c r="AL207" s="287"/>
      <c r="AM207" s="287"/>
      <c r="AN207" s="287"/>
      <c r="AO207" s="287"/>
      <c r="AP207" s="287"/>
      <c r="AQ207" s="288"/>
      <c r="AR207" s="2"/>
      <c r="AS207" s="2"/>
      <c r="AT207" s="2"/>
      <c r="AU207" s="2"/>
      <c r="AV207" s="2"/>
      <c r="AW207" s="2"/>
      <c r="AX207" s="2"/>
      <c r="AY207" s="2"/>
      <c r="AZ207" s="2"/>
      <c r="BA207" s="2"/>
      <c r="BB207" s="2"/>
      <c r="BC207" s="2"/>
      <c r="BD207" s="2"/>
      <c r="BE207" s="2"/>
      <c r="BF207" s="2"/>
      <c r="BG207" s="2"/>
      <c r="BH207" s="2"/>
      <c r="BI207" s="2"/>
      <c r="BJ207" s="2"/>
      <c r="BK207" s="2"/>
      <c r="BL207" s="2"/>
    </row>
    <row r="208" ht="18.75" hidden="1" customHeight="1">
      <c r="A208" s="2"/>
      <c r="B208" s="268" t="str">
        <f t="shared" si="56"/>
        <v>Royal Titans - Ice Element Staff Crown</v>
      </c>
      <c r="C208" s="269"/>
      <c r="D208" s="269"/>
      <c r="E208" s="269"/>
      <c r="F208" s="269"/>
      <c r="G208" s="270"/>
      <c r="H208" s="271" t="s">
        <v>578</v>
      </c>
      <c r="I208" s="269"/>
      <c r="J208" s="270"/>
      <c r="K208" s="272">
        <f t="shared" si="4"/>
        <v>5</v>
      </c>
      <c r="L208" s="271">
        <f t="shared" si="57"/>
        <v>10</v>
      </c>
      <c r="M208" s="269"/>
      <c r="N208" s="270"/>
      <c r="O208" s="273">
        <f t="shared" si="58"/>
        <v>1</v>
      </c>
      <c r="P208" s="269"/>
      <c r="Q208" s="270"/>
      <c r="R208" s="274">
        <f t="shared" si="7"/>
        <v>0.5</v>
      </c>
      <c r="S208" s="269"/>
      <c r="T208" s="275"/>
      <c r="U208" s="2"/>
      <c r="V208" s="2"/>
      <c r="W208" s="285" t="s">
        <v>238</v>
      </c>
      <c r="X208" s="269"/>
      <c r="Y208" s="269"/>
      <c r="Z208" s="269"/>
      <c r="AA208" s="269"/>
      <c r="AB208" s="281"/>
      <c r="AC208" s="280">
        <v>466757.0</v>
      </c>
      <c r="AD208" s="269"/>
      <c r="AE208" s="269"/>
      <c r="AF208" s="281"/>
      <c r="AG208" s="289" t="s">
        <v>121</v>
      </c>
      <c r="AH208" s="287"/>
      <c r="AI208" s="287"/>
      <c r="AJ208" s="287"/>
      <c r="AK208" s="287"/>
      <c r="AL208" s="287"/>
      <c r="AM208" s="287"/>
      <c r="AN208" s="287"/>
      <c r="AO208" s="287"/>
      <c r="AP208" s="287"/>
      <c r="AQ208" s="288"/>
      <c r="AR208" s="2"/>
      <c r="AS208" s="2"/>
      <c r="AT208" s="2"/>
      <c r="AU208" s="2"/>
      <c r="AV208" s="2"/>
      <c r="AW208" s="2"/>
      <c r="AX208" s="2"/>
      <c r="AY208" s="2"/>
      <c r="AZ208" s="2"/>
      <c r="BA208" s="2"/>
      <c r="BB208" s="2"/>
      <c r="BC208" s="2"/>
      <c r="BD208" s="2"/>
      <c r="BE208" s="2"/>
      <c r="BF208" s="2"/>
      <c r="BG208" s="2"/>
      <c r="BH208" s="2"/>
      <c r="BI208" s="2"/>
      <c r="BJ208" s="2"/>
      <c r="BK208" s="2"/>
      <c r="BL208" s="2"/>
    </row>
    <row r="209" ht="18.75" hidden="1" customHeight="1">
      <c r="A209" s="2"/>
      <c r="B209" s="268" t="str">
        <f t="shared" si="56"/>
        <v>Royal Titans - Mystic Vigour Prayer Scroll</v>
      </c>
      <c r="C209" s="269"/>
      <c r="D209" s="269"/>
      <c r="E209" s="269"/>
      <c r="F209" s="269"/>
      <c r="G209" s="270"/>
      <c r="H209" s="271" t="s">
        <v>578</v>
      </c>
      <c r="I209" s="269"/>
      <c r="J209" s="270"/>
      <c r="K209" s="272">
        <f t="shared" si="4"/>
        <v>5</v>
      </c>
      <c r="L209" s="271">
        <f t="shared" si="57"/>
        <v>10</v>
      </c>
      <c r="M209" s="269"/>
      <c r="N209" s="270"/>
      <c r="O209" s="273">
        <f t="shared" si="58"/>
        <v>1</v>
      </c>
      <c r="P209" s="269"/>
      <c r="Q209" s="270"/>
      <c r="R209" s="274">
        <f t="shared" si="7"/>
        <v>0.5</v>
      </c>
      <c r="S209" s="269"/>
      <c r="T209" s="275"/>
      <c r="U209" s="2"/>
      <c r="V209" s="2"/>
      <c r="W209" s="285" t="s">
        <v>745</v>
      </c>
      <c r="X209" s="269"/>
      <c r="Y209" s="269"/>
      <c r="Z209" s="269"/>
      <c r="AA209" s="269"/>
      <c r="AB209" s="281"/>
      <c r="AC209" s="280">
        <v>1189474.0</v>
      </c>
      <c r="AD209" s="269"/>
      <c r="AE209" s="269"/>
      <c r="AF209" s="281"/>
      <c r="AG209" s="289" t="s">
        <v>746</v>
      </c>
      <c r="AH209" s="287"/>
      <c r="AI209" s="287"/>
      <c r="AJ209" s="287"/>
      <c r="AK209" s="287"/>
      <c r="AL209" s="287"/>
      <c r="AM209" s="287"/>
      <c r="AN209" s="287"/>
      <c r="AO209" s="287"/>
      <c r="AP209" s="287"/>
      <c r="AQ209" s="288"/>
      <c r="AR209" s="2"/>
      <c r="AS209" s="2"/>
      <c r="AT209" s="2"/>
      <c r="AU209" s="2"/>
      <c r="AV209" s="2"/>
      <c r="AW209" s="2"/>
      <c r="AX209" s="2"/>
      <c r="AY209" s="2"/>
      <c r="AZ209" s="2"/>
      <c r="BA209" s="2"/>
      <c r="BB209" s="2"/>
      <c r="BC209" s="2"/>
      <c r="BD209" s="2"/>
      <c r="BE209" s="2"/>
      <c r="BF209" s="2"/>
      <c r="BG209" s="2"/>
      <c r="BH209" s="2"/>
      <c r="BI209" s="2"/>
      <c r="BJ209" s="2"/>
      <c r="BK209" s="2"/>
      <c r="BL209" s="2"/>
    </row>
    <row r="210" ht="18.75" hidden="1" customHeight="1">
      <c r="A210" s="2"/>
      <c r="B210" s="268" t="str">
        <f t="shared" si="56"/>
        <v>Royal Titans - Deadeye Prayer Scroll</v>
      </c>
      <c r="C210" s="269"/>
      <c r="D210" s="269"/>
      <c r="E210" s="269"/>
      <c r="F210" s="269"/>
      <c r="G210" s="270"/>
      <c r="H210" s="271" t="s">
        <v>578</v>
      </c>
      <c r="I210" s="269"/>
      <c r="J210" s="270"/>
      <c r="K210" s="272">
        <f t="shared" si="4"/>
        <v>5</v>
      </c>
      <c r="L210" s="271">
        <f t="shared" si="57"/>
        <v>10</v>
      </c>
      <c r="M210" s="269"/>
      <c r="N210" s="270"/>
      <c r="O210" s="273">
        <f t="shared" si="58"/>
        <v>1</v>
      </c>
      <c r="P210" s="269"/>
      <c r="Q210" s="270"/>
      <c r="R210" s="274">
        <f t="shared" si="7"/>
        <v>0.5</v>
      </c>
      <c r="S210" s="269"/>
      <c r="T210" s="275"/>
      <c r="U210" s="2"/>
      <c r="V210" s="2"/>
      <c r="W210" s="285" t="s">
        <v>747</v>
      </c>
      <c r="X210" s="269"/>
      <c r="Y210" s="269"/>
      <c r="Z210" s="269"/>
      <c r="AA210" s="269"/>
      <c r="AB210" s="281"/>
      <c r="AC210" s="280">
        <v>1028244.0</v>
      </c>
      <c r="AD210" s="269"/>
      <c r="AE210" s="269"/>
      <c r="AF210" s="281"/>
      <c r="AG210" s="289" t="s">
        <v>748</v>
      </c>
      <c r="AH210" s="287"/>
      <c r="AI210" s="287"/>
      <c r="AJ210" s="287"/>
      <c r="AK210" s="287"/>
      <c r="AL210" s="287"/>
      <c r="AM210" s="287"/>
      <c r="AN210" s="287"/>
      <c r="AO210" s="287"/>
      <c r="AP210" s="287"/>
      <c r="AQ210" s="288"/>
      <c r="AR210" s="2"/>
      <c r="AS210" s="2"/>
      <c r="AT210" s="2"/>
      <c r="AU210" s="2"/>
      <c r="AV210" s="2"/>
      <c r="AW210" s="2"/>
      <c r="AX210" s="2"/>
      <c r="AY210" s="2"/>
      <c r="AZ210" s="2"/>
      <c r="BA210" s="2"/>
      <c r="BB210" s="2"/>
      <c r="BC210" s="2"/>
      <c r="BD210" s="2"/>
      <c r="BE210" s="2"/>
      <c r="BF210" s="2"/>
      <c r="BG210" s="2"/>
      <c r="BH210" s="2"/>
      <c r="BI210" s="2"/>
      <c r="BJ210" s="2"/>
      <c r="BK210" s="2"/>
      <c r="BL210" s="2"/>
    </row>
    <row r="211" ht="18.75" hidden="1" customHeight="1">
      <c r="A211" s="2"/>
      <c r="B211" s="268" t="str">
        <f t="shared" si="56"/>
        <v>Royal Titans - Bran</v>
      </c>
      <c r="C211" s="269"/>
      <c r="D211" s="269"/>
      <c r="E211" s="269"/>
      <c r="F211" s="269"/>
      <c r="G211" s="270"/>
      <c r="H211" s="271" t="s">
        <v>578</v>
      </c>
      <c r="I211" s="269"/>
      <c r="J211" s="270"/>
      <c r="K211" s="272">
        <f t="shared" si="4"/>
        <v>5</v>
      </c>
      <c r="L211" s="271">
        <f t="shared" si="57"/>
        <v>10</v>
      </c>
      <c r="M211" s="269"/>
      <c r="N211" s="270"/>
      <c r="O211" s="273">
        <f t="shared" si="58"/>
        <v>2</v>
      </c>
      <c r="P211" s="269"/>
      <c r="Q211" s="270"/>
      <c r="R211" s="274">
        <f t="shared" si="7"/>
        <v>1</v>
      </c>
      <c r="S211" s="269"/>
      <c r="T211" s="275"/>
      <c r="U211" s="2"/>
      <c r="V211" s="2"/>
      <c r="W211" s="285" t="s">
        <v>749</v>
      </c>
      <c r="X211" s="269"/>
      <c r="Y211" s="269"/>
      <c r="Z211" s="269"/>
      <c r="AA211" s="269"/>
      <c r="AB211" s="281"/>
      <c r="AC211" s="280">
        <v>838503.0</v>
      </c>
      <c r="AD211" s="269"/>
      <c r="AE211" s="269"/>
      <c r="AF211" s="281"/>
      <c r="AG211" s="289" t="s">
        <v>750</v>
      </c>
      <c r="AH211" s="287"/>
      <c r="AI211" s="287"/>
      <c r="AJ211" s="287"/>
      <c r="AK211" s="287"/>
      <c r="AL211" s="287"/>
      <c r="AM211" s="287"/>
      <c r="AN211" s="287"/>
      <c r="AO211" s="287"/>
      <c r="AP211" s="287"/>
      <c r="AQ211" s="288"/>
      <c r="AR211" s="2"/>
      <c r="AS211" s="2"/>
      <c r="AT211" s="2"/>
      <c r="AU211" s="2"/>
      <c r="AV211" s="2"/>
      <c r="AW211" s="2"/>
      <c r="AX211" s="2"/>
      <c r="AY211" s="2"/>
      <c r="AZ211" s="2"/>
      <c r="BA211" s="2"/>
      <c r="BB211" s="2"/>
      <c r="BC211" s="2"/>
      <c r="BD211" s="2"/>
      <c r="BE211" s="2"/>
      <c r="BF211" s="2"/>
      <c r="BG211" s="2"/>
      <c r="BH211" s="2"/>
      <c r="BI211" s="2"/>
      <c r="BJ211" s="2"/>
      <c r="BK211" s="2"/>
      <c r="BL211" s="2"/>
    </row>
    <row r="212" ht="18.75" hidden="1" customHeight="1">
      <c r="A212" s="2"/>
      <c r="B212" s="268" t="str">
        <f t="shared" ref="B212:B214" si="59">$C$37 &amp; " - " &amp; C39</f>
        <v>Wintertodt - Tome of Fire</v>
      </c>
      <c r="C212" s="269"/>
      <c r="D212" s="269"/>
      <c r="E212" s="269"/>
      <c r="F212" s="269"/>
      <c r="G212" s="270"/>
      <c r="H212" s="271" t="s">
        <v>578</v>
      </c>
      <c r="I212" s="269"/>
      <c r="J212" s="270"/>
      <c r="K212" s="272">
        <f t="shared" si="4"/>
        <v>5</v>
      </c>
      <c r="L212" s="271">
        <f t="shared" ref="L212:L214" si="60">$L$37</f>
        <v>1</v>
      </c>
      <c r="M212" s="269"/>
      <c r="N212" s="270"/>
      <c r="O212" s="273">
        <f t="shared" ref="O212:O214" si="61">K39</f>
        <v>1</v>
      </c>
      <c r="P212" s="269"/>
      <c r="Q212" s="270"/>
      <c r="R212" s="274">
        <f t="shared" si="7"/>
        <v>5</v>
      </c>
      <c r="S212" s="269"/>
      <c r="T212" s="275"/>
      <c r="U212" s="2"/>
      <c r="V212" s="2"/>
      <c r="W212" s="285" t="s">
        <v>751</v>
      </c>
      <c r="X212" s="269"/>
      <c r="Y212" s="269"/>
      <c r="Z212" s="269"/>
      <c r="AA212" s="269"/>
      <c r="AB212" s="281"/>
      <c r="AC212" s="280">
        <v>226103.0</v>
      </c>
      <c r="AD212" s="269"/>
      <c r="AE212" s="269"/>
      <c r="AF212" s="281"/>
      <c r="AG212" s="289" t="s">
        <v>752</v>
      </c>
      <c r="AH212" s="287"/>
      <c r="AI212" s="287"/>
      <c r="AJ212" s="287"/>
      <c r="AK212" s="287"/>
      <c r="AL212" s="287"/>
      <c r="AM212" s="287"/>
      <c r="AN212" s="287"/>
      <c r="AO212" s="287"/>
      <c r="AP212" s="287"/>
      <c r="AQ212" s="288"/>
      <c r="AR212" s="2"/>
      <c r="AS212" s="2"/>
      <c r="AT212" s="2"/>
      <c r="AU212" s="2"/>
      <c r="AV212" s="2"/>
      <c r="AW212" s="2"/>
      <c r="AX212" s="2"/>
      <c r="AY212" s="2"/>
      <c r="AZ212" s="2"/>
      <c r="BA212" s="2"/>
      <c r="BB212" s="2"/>
      <c r="BC212" s="2"/>
      <c r="BD212" s="2"/>
      <c r="BE212" s="2"/>
      <c r="BF212" s="2"/>
      <c r="BG212" s="2"/>
      <c r="BH212" s="2"/>
      <c r="BI212" s="2"/>
      <c r="BJ212" s="2"/>
      <c r="BK212" s="2"/>
      <c r="BL212" s="2"/>
    </row>
    <row r="213" ht="18.75" hidden="1" customHeight="1">
      <c r="A213" s="2"/>
      <c r="B213" s="268" t="str">
        <f t="shared" si="59"/>
        <v>Wintertodt - Dragon Axe</v>
      </c>
      <c r="C213" s="269"/>
      <c r="D213" s="269"/>
      <c r="E213" s="269"/>
      <c r="F213" s="269"/>
      <c r="G213" s="270"/>
      <c r="H213" s="271" t="s">
        <v>578</v>
      </c>
      <c r="I213" s="269"/>
      <c r="J213" s="270"/>
      <c r="K213" s="272">
        <f t="shared" si="4"/>
        <v>5</v>
      </c>
      <c r="L213" s="271">
        <f t="shared" si="60"/>
        <v>1</v>
      </c>
      <c r="M213" s="269"/>
      <c r="N213" s="270"/>
      <c r="O213" s="273">
        <f t="shared" si="61"/>
        <v>1</v>
      </c>
      <c r="P213" s="269"/>
      <c r="Q213" s="270"/>
      <c r="R213" s="274">
        <f t="shared" si="7"/>
        <v>5</v>
      </c>
      <c r="S213" s="269"/>
      <c r="T213" s="275"/>
      <c r="U213" s="2"/>
      <c r="V213" s="2"/>
      <c r="W213" s="285" t="s">
        <v>547</v>
      </c>
      <c r="X213" s="269"/>
      <c r="Y213" s="269"/>
      <c r="Z213" s="269"/>
      <c r="AA213" s="269"/>
      <c r="AB213" s="281"/>
      <c r="AC213" s="280">
        <v>113417.0</v>
      </c>
      <c r="AD213" s="269"/>
      <c r="AE213" s="269"/>
      <c r="AF213" s="281"/>
      <c r="AG213" s="289" t="s">
        <v>753</v>
      </c>
      <c r="AH213" s="287"/>
      <c r="AI213" s="287"/>
      <c r="AJ213" s="287"/>
      <c r="AK213" s="287"/>
      <c r="AL213" s="287"/>
      <c r="AM213" s="287"/>
      <c r="AN213" s="287"/>
      <c r="AO213" s="287"/>
      <c r="AP213" s="287"/>
      <c r="AQ213" s="288"/>
      <c r="AR213" s="2"/>
      <c r="AS213" s="2"/>
      <c r="AT213" s="2"/>
      <c r="AU213" s="2"/>
      <c r="AV213" s="2"/>
      <c r="AW213" s="2"/>
      <c r="AX213" s="2"/>
      <c r="AY213" s="2"/>
      <c r="AZ213" s="2"/>
      <c r="BA213" s="2"/>
      <c r="BB213" s="2"/>
      <c r="BC213" s="2"/>
      <c r="BD213" s="2"/>
      <c r="BE213" s="2"/>
      <c r="BF213" s="2"/>
      <c r="BG213" s="2"/>
      <c r="BH213" s="2"/>
      <c r="BI213" s="2"/>
      <c r="BJ213" s="2"/>
      <c r="BK213" s="2"/>
      <c r="BL213" s="2"/>
    </row>
    <row r="214" ht="18.75" hidden="1" customHeight="1">
      <c r="A214" s="2"/>
      <c r="B214" s="268" t="str">
        <f t="shared" si="59"/>
        <v>Wintertodt - Phoenix</v>
      </c>
      <c r="C214" s="269"/>
      <c r="D214" s="269"/>
      <c r="E214" s="269"/>
      <c r="F214" s="269"/>
      <c r="G214" s="270"/>
      <c r="H214" s="271" t="s">
        <v>578</v>
      </c>
      <c r="I214" s="269"/>
      <c r="J214" s="270"/>
      <c r="K214" s="272">
        <f t="shared" si="4"/>
        <v>5</v>
      </c>
      <c r="L214" s="271">
        <f t="shared" si="60"/>
        <v>1</v>
      </c>
      <c r="M214" s="269"/>
      <c r="N214" s="270"/>
      <c r="O214" s="273">
        <f t="shared" si="61"/>
        <v>1</v>
      </c>
      <c r="P214" s="269"/>
      <c r="Q214" s="270"/>
      <c r="R214" s="274">
        <f t="shared" si="7"/>
        <v>5</v>
      </c>
      <c r="S214" s="269"/>
      <c r="T214" s="275"/>
      <c r="U214" s="2"/>
      <c r="V214" s="2"/>
      <c r="W214" s="285" t="s">
        <v>754</v>
      </c>
      <c r="X214" s="269"/>
      <c r="Y214" s="269"/>
      <c r="Z214" s="269"/>
      <c r="AA214" s="269"/>
      <c r="AB214" s="281"/>
      <c r="AC214" s="280">
        <v>79368.0</v>
      </c>
      <c r="AD214" s="269"/>
      <c r="AE214" s="269"/>
      <c r="AF214" s="281"/>
      <c r="AG214" s="289" t="s">
        <v>755</v>
      </c>
      <c r="AH214" s="287"/>
      <c r="AI214" s="287"/>
      <c r="AJ214" s="287"/>
      <c r="AK214" s="287"/>
      <c r="AL214" s="287"/>
      <c r="AM214" s="287"/>
      <c r="AN214" s="287"/>
      <c r="AO214" s="287"/>
      <c r="AP214" s="287"/>
      <c r="AQ214" s="288"/>
      <c r="AR214" s="2"/>
      <c r="AS214" s="2"/>
      <c r="AT214" s="2"/>
      <c r="AU214" s="2"/>
      <c r="AV214" s="2"/>
      <c r="AW214" s="2"/>
      <c r="AX214" s="2"/>
      <c r="AY214" s="2"/>
      <c r="AZ214" s="2"/>
      <c r="BA214" s="2"/>
      <c r="BB214" s="2"/>
      <c r="BC214" s="2"/>
      <c r="BD214" s="2"/>
      <c r="BE214" s="2"/>
      <c r="BF214" s="2"/>
      <c r="BG214" s="2"/>
      <c r="BH214" s="2"/>
      <c r="BI214" s="2"/>
      <c r="BJ214" s="2"/>
      <c r="BK214" s="2"/>
      <c r="BL214" s="2"/>
    </row>
    <row r="215" ht="18.75" hidden="1" customHeight="1">
      <c r="A215" s="2"/>
      <c r="B215" s="268" t="str">
        <f t="shared" ref="B215:B219" si="62">$M$25 &amp; " - " &amp; M27</f>
        <v>Araxxor - Noxious Piece (any)</v>
      </c>
      <c r="C215" s="269"/>
      <c r="D215" s="269"/>
      <c r="E215" s="269"/>
      <c r="F215" s="269"/>
      <c r="G215" s="270"/>
      <c r="H215" s="271" t="s">
        <v>603</v>
      </c>
      <c r="I215" s="269"/>
      <c r="J215" s="270"/>
      <c r="K215" s="272">
        <f t="shared" si="4"/>
        <v>20</v>
      </c>
      <c r="L215" s="271">
        <f t="shared" ref="L215:L219" si="63">$V$25</f>
        <v>12</v>
      </c>
      <c r="M215" s="269"/>
      <c r="N215" s="270"/>
      <c r="O215" s="273">
        <f t="shared" ref="O215:O219" si="64">U27</f>
        <v>2</v>
      </c>
      <c r="P215" s="269"/>
      <c r="Q215" s="270"/>
      <c r="R215" s="274">
        <f t="shared" si="7"/>
        <v>3.333333333</v>
      </c>
      <c r="S215" s="269"/>
      <c r="T215" s="275"/>
      <c r="U215" s="2"/>
      <c r="V215" s="2"/>
      <c r="W215" s="285" t="s">
        <v>756</v>
      </c>
      <c r="X215" s="269"/>
      <c r="Y215" s="269"/>
      <c r="Z215" s="269"/>
      <c r="AA215" s="269"/>
      <c r="AB215" s="281"/>
      <c r="AC215" s="280">
        <v>78461.0</v>
      </c>
      <c r="AD215" s="269"/>
      <c r="AE215" s="269"/>
      <c r="AF215" s="281"/>
      <c r="AG215" s="289" t="s">
        <v>757</v>
      </c>
      <c r="AH215" s="287"/>
      <c r="AI215" s="287"/>
      <c r="AJ215" s="287"/>
      <c r="AK215" s="287"/>
      <c r="AL215" s="287"/>
      <c r="AM215" s="287"/>
      <c r="AN215" s="287"/>
      <c r="AO215" s="287"/>
      <c r="AP215" s="287"/>
      <c r="AQ215" s="288"/>
      <c r="AR215" s="2"/>
      <c r="AS215" s="2"/>
      <c r="AT215" s="2"/>
      <c r="AU215" s="2"/>
      <c r="AV215" s="2"/>
      <c r="AW215" s="2"/>
      <c r="AX215" s="2"/>
      <c r="AY215" s="2"/>
      <c r="AZ215" s="2"/>
      <c r="BA215" s="2"/>
      <c r="BB215" s="2"/>
      <c r="BC215" s="2"/>
      <c r="BD215" s="2"/>
      <c r="BE215" s="2"/>
      <c r="BF215" s="2"/>
      <c r="BG215" s="2"/>
      <c r="BH215" s="2"/>
      <c r="BI215" s="2"/>
      <c r="BJ215" s="2"/>
      <c r="BK215" s="2"/>
      <c r="BL215" s="2"/>
    </row>
    <row r="216" ht="18.75" hidden="1" customHeight="1">
      <c r="A216" s="2"/>
      <c r="B216" s="268" t="str">
        <f t="shared" si="62"/>
        <v>Araxxor - Araxyte Fang</v>
      </c>
      <c r="C216" s="269"/>
      <c r="D216" s="269"/>
      <c r="E216" s="269"/>
      <c r="F216" s="269"/>
      <c r="G216" s="270"/>
      <c r="H216" s="271" t="s">
        <v>603</v>
      </c>
      <c r="I216" s="269"/>
      <c r="J216" s="270"/>
      <c r="K216" s="272">
        <f t="shared" si="4"/>
        <v>20</v>
      </c>
      <c r="L216" s="271">
        <f t="shared" si="63"/>
        <v>12</v>
      </c>
      <c r="M216" s="269"/>
      <c r="N216" s="270"/>
      <c r="O216" s="273">
        <f t="shared" si="64"/>
        <v>2</v>
      </c>
      <c r="P216" s="269"/>
      <c r="Q216" s="270"/>
      <c r="R216" s="274">
        <f t="shared" si="7"/>
        <v>3.333333333</v>
      </c>
      <c r="S216" s="269"/>
      <c r="T216" s="275"/>
      <c r="U216" s="2"/>
      <c r="V216" s="2"/>
      <c r="W216" s="285" t="s">
        <v>758</v>
      </c>
      <c r="X216" s="269"/>
      <c r="Y216" s="269"/>
      <c r="Z216" s="269"/>
      <c r="AA216" s="269"/>
      <c r="AB216" s="281"/>
      <c r="AC216" s="280">
        <v>44992.0</v>
      </c>
      <c r="AD216" s="269"/>
      <c r="AE216" s="269"/>
      <c r="AF216" s="281"/>
      <c r="AG216" s="289" t="s">
        <v>759</v>
      </c>
      <c r="AH216" s="287"/>
      <c r="AI216" s="287"/>
      <c r="AJ216" s="287"/>
      <c r="AK216" s="287"/>
      <c r="AL216" s="287"/>
      <c r="AM216" s="287"/>
      <c r="AN216" s="287"/>
      <c r="AO216" s="287"/>
      <c r="AP216" s="287"/>
      <c r="AQ216" s="288"/>
      <c r="AR216" s="2"/>
      <c r="AS216" s="2"/>
      <c r="AT216" s="2"/>
      <c r="AU216" s="2"/>
      <c r="AV216" s="2"/>
      <c r="AW216" s="2"/>
      <c r="AX216" s="2"/>
      <c r="AY216" s="2"/>
      <c r="AZ216" s="2"/>
      <c r="BA216" s="2"/>
      <c r="BB216" s="2"/>
      <c r="BC216" s="2"/>
      <c r="BD216" s="2"/>
      <c r="BE216" s="2"/>
      <c r="BF216" s="2"/>
      <c r="BG216" s="2"/>
      <c r="BH216" s="2"/>
      <c r="BI216" s="2"/>
      <c r="BJ216" s="2"/>
      <c r="BK216" s="2"/>
      <c r="BL216" s="2"/>
    </row>
    <row r="217" ht="18.75" hidden="1" customHeight="1">
      <c r="A217" s="2"/>
      <c r="B217" s="268" t="str">
        <f t="shared" si="62"/>
        <v>Araxxor - Araxyte Head</v>
      </c>
      <c r="C217" s="269"/>
      <c r="D217" s="269"/>
      <c r="E217" s="269"/>
      <c r="F217" s="269"/>
      <c r="G217" s="270"/>
      <c r="H217" s="271" t="s">
        <v>603</v>
      </c>
      <c r="I217" s="269"/>
      <c r="J217" s="270"/>
      <c r="K217" s="272">
        <f t="shared" si="4"/>
        <v>20</v>
      </c>
      <c r="L217" s="271">
        <f t="shared" si="63"/>
        <v>12</v>
      </c>
      <c r="M217" s="269"/>
      <c r="N217" s="270"/>
      <c r="O217" s="273">
        <f t="shared" si="64"/>
        <v>1</v>
      </c>
      <c r="P217" s="269"/>
      <c r="Q217" s="270"/>
      <c r="R217" s="274">
        <f t="shared" si="7"/>
        <v>1.666666667</v>
      </c>
      <c r="S217" s="269"/>
      <c r="T217" s="275"/>
      <c r="U217" s="2"/>
      <c r="V217" s="2"/>
      <c r="W217" s="285" t="s">
        <v>760</v>
      </c>
      <c r="X217" s="269"/>
      <c r="Y217" s="269"/>
      <c r="Z217" s="269"/>
      <c r="AA217" s="269"/>
      <c r="AB217" s="281"/>
      <c r="AC217" s="280">
        <v>42650.0</v>
      </c>
      <c r="AD217" s="269"/>
      <c r="AE217" s="269"/>
      <c r="AF217" s="281"/>
      <c r="AG217" s="289" t="s">
        <v>761</v>
      </c>
      <c r="AH217" s="287"/>
      <c r="AI217" s="287"/>
      <c r="AJ217" s="287"/>
      <c r="AK217" s="287"/>
      <c r="AL217" s="287"/>
      <c r="AM217" s="287"/>
      <c r="AN217" s="287"/>
      <c r="AO217" s="287"/>
      <c r="AP217" s="287"/>
      <c r="AQ217" s="288"/>
      <c r="AR217" s="2"/>
      <c r="AS217" s="2"/>
      <c r="AT217" s="2"/>
      <c r="AU217" s="2"/>
      <c r="AV217" s="2"/>
      <c r="AW217" s="2"/>
      <c r="AX217" s="2"/>
      <c r="AY217" s="2"/>
      <c r="AZ217" s="2"/>
      <c r="BA217" s="2"/>
      <c r="BB217" s="2"/>
      <c r="BC217" s="2"/>
      <c r="BD217" s="2"/>
      <c r="BE217" s="2"/>
      <c r="BF217" s="2"/>
      <c r="BG217" s="2"/>
      <c r="BH217" s="2"/>
      <c r="BI217" s="2"/>
      <c r="BJ217" s="2"/>
      <c r="BK217" s="2"/>
      <c r="BL217" s="2"/>
    </row>
    <row r="218" ht="18.75" hidden="1" customHeight="1">
      <c r="A218" s="2"/>
      <c r="B218" s="268" t="str">
        <f t="shared" si="62"/>
        <v>Araxxor - Jar of Venom</v>
      </c>
      <c r="C218" s="269"/>
      <c r="D218" s="269"/>
      <c r="E218" s="269"/>
      <c r="F218" s="269"/>
      <c r="G218" s="270"/>
      <c r="H218" s="271" t="s">
        <v>603</v>
      </c>
      <c r="I218" s="269"/>
      <c r="J218" s="270"/>
      <c r="K218" s="272">
        <f t="shared" si="4"/>
        <v>20</v>
      </c>
      <c r="L218" s="271">
        <f t="shared" si="63"/>
        <v>12</v>
      </c>
      <c r="M218" s="269"/>
      <c r="N218" s="270"/>
      <c r="O218" s="273">
        <f t="shared" si="64"/>
        <v>3</v>
      </c>
      <c r="P218" s="269"/>
      <c r="Q218" s="270"/>
      <c r="R218" s="274">
        <f t="shared" si="7"/>
        <v>5</v>
      </c>
      <c r="S218" s="269"/>
      <c r="T218" s="275"/>
      <c r="U218" s="2"/>
      <c r="V218" s="2"/>
      <c r="W218" s="285" t="s">
        <v>762</v>
      </c>
      <c r="X218" s="269"/>
      <c r="Y218" s="269"/>
      <c r="Z218" s="269"/>
      <c r="AA218" s="269"/>
      <c r="AB218" s="281"/>
      <c r="AC218" s="280">
        <v>42424.0</v>
      </c>
      <c r="AD218" s="269"/>
      <c r="AE218" s="269"/>
      <c r="AF218" s="281"/>
      <c r="AG218" s="289" t="s">
        <v>763</v>
      </c>
      <c r="AH218" s="287"/>
      <c r="AI218" s="287"/>
      <c r="AJ218" s="287"/>
      <c r="AK218" s="287"/>
      <c r="AL218" s="287"/>
      <c r="AM218" s="287"/>
      <c r="AN218" s="287"/>
      <c r="AO218" s="287"/>
      <c r="AP218" s="287"/>
      <c r="AQ218" s="288"/>
      <c r="AR218" s="2"/>
      <c r="AS218" s="2"/>
      <c r="AT218" s="2"/>
      <c r="AU218" s="2"/>
      <c r="AV218" s="2"/>
      <c r="AW218" s="2"/>
      <c r="AX218" s="2"/>
      <c r="AY218" s="2"/>
      <c r="AZ218" s="2"/>
      <c r="BA218" s="2"/>
      <c r="BB218" s="2"/>
      <c r="BC218" s="2"/>
      <c r="BD218" s="2"/>
      <c r="BE218" s="2"/>
      <c r="BF218" s="2"/>
      <c r="BG218" s="2"/>
      <c r="BH218" s="2"/>
      <c r="BI218" s="2"/>
      <c r="BJ218" s="2"/>
      <c r="BK218" s="2"/>
      <c r="BL218" s="2"/>
    </row>
    <row r="219" ht="18.75" hidden="1" customHeight="1">
      <c r="A219" s="2"/>
      <c r="B219" s="268" t="str">
        <f t="shared" si="62"/>
        <v>Araxxor - Nid</v>
      </c>
      <c r="C219" s="269"/>
      <c r="D219" s="269"/>
      <c r="E219" s="269"/>
      <c r="F219" s="269"/>
      <c r="G219" s="270"/>
      <c r="H219" s="271" t="s">
        <v>603</v>
      </c>
      <c r="I219" s="269"/>
      <c r="J219" s="270"/>
      <c r="K219" s="272">
        <f t="shared" si="4"/>
        <v>20</v>
      </c>
      <c r="L219" s="271">
        <f t="shared" si="63"/>
        <v>12</v>
      </c>
      <c r="M219" s="269"/>
      <c r="N219" s="270"/>
      <c r="O219" s="273">
        <f t="shared" si="64"/>
        <v>3</v>
      </c>
      <c r="P219" s="269"/>
      <c r="Q219" s="270"/>
      <c r="R219" s="274">
        <f t="shared" si="7"/>
        <v>5</v>
      </c>
      <c r="S219" s="269"/>
      <c r="T219" s="275"/>
      <c r="U219" s="2"/>
      <c r="V219" s="2"/>
      <c r="W219" s="285" t="s">
        <v>764</v>
      </c>
      <c r="X219" s="269"/>
      <c r="Y219" s="269"/>
      <c r="Z219" s="269"/>
      <c r="AA219" s="269"/>
      <c r="AB219" s="281"/>
      <c r="AC219" s="280">
        <v>41054.0</v>
      </c>
      <c r="AD219" s="269"/>
      <c r="AE219" s="269"/>
      <c r="AF219" s="281"/>
      <c r="AG219" s="289" t="s">
        <v>765</v>
      </c>
      <c r="AH219" s="287"/>
      <c r="AI219" s="287"/>
      <c r="AJ219" s="287"/>
      <c r="AK219" s="287"/>
      <c r="AL219" s="287"/>
      <c r="AM219" s="287"/>
      <c r="AN219" s="287"/>
      <c r="AO219" s="287"/>
      <c r="AP219" s="287"/>
      <c r="AQ219" s="288"/>
      <c r="AR219" s="2"/>
      <c r="AS219" s="2"/>
      <c r="AT219" s="2"/>
      <c r="AU219" s="2"/>
      <c r="AV219" s="2"/>
      <c r="AW219" s="2"/>
      <c r="AX219" s="2"/>
      <c r="AY219" s="2"/>
      <c r="AZ219" s="2"/>
      <c r="BA219" s="2"/>
      <c r="BB219" s="2"/>
      <c r="BC219" s="2"/>
      <c r="BD219" s="2"/>
      <c r="BE219" s="2"/>
      <c r="BF219" s="2"/>
      <c r="BG219" s="2"/>
      <c r="BH219" s="2"/>
      <c r="BI219" s="2"/>
      <c r="BJ219" s="2"/>
      <c r="BK219" s="2"/>
      <c r="BL219" s="2"/>
    </row>
    <row r="220" ht="18.75" hidden="1" customHeight="1">
      <c r="A220" s="2"/>
      <c r="B220" s="268" t="str">
        <f t="shared" ref="B220:B226" si="65">$W$32 &amp; " - " &amp; W34</f>
        <v>Zulrah - Tanzanite Fang</v>
      </c>
      <c r="C220" s="269"/>
      <c r="D220" s="269"/>
      <c r="E220" s="269"/>
      <c r="F220" s="269"/>
      <c r="G220" s="270"/>
      <c r="H220" s="271" t="s">
        <v>589</v>
      </c>
      <c r="I220" s="269"/>
      <c r="J220" s="270"/>
      <c r="K220" s="272">
        <f t="shared" si="4"/>
        <v>10</v>
      </c>
      <c r="L220" s="271">
        <f t="shared" ref="L220:L226" si="66">$AF$32</f>
        <v>6</v>
      </c>
      <c r="M220" s="269"/>
      <c r="N220" s="270"/>
      <c r="O220" s="273">
        <f t="shared" ref="O220:O226" si="67">AE34</f>
        <v>1</v>
      </c>
      <c r="P220" s="269"/>
      <c r="Q220" s="270"/>
      <c r="R220" s="274">
        <f t="shared" si="7"/>
        <v>1.666666667</v>
      </c>
      <c r="S220" s="269"/>
      <c r="T220" s="275"/>
      <c r="U220" s="2"/>
      <c r="V220" s="2"/>
      <c r="W220" s="285" t="s">
        <v>766</v>
      </c>
      <c r="X220" s="269"/>
      <c r="Y220" s="269"/>
      <c r="Z220" s="269"/>
      <c r="AA220" s="269"/>
      <c r="AB220" s="281"/>
      <c r="AC220" s="280">
        <v>35132.0</v>
      </c>
      <c r="AD220" s="269"/>
      <c r="AE220" s="269"/>
      <c r="AF220" s="281"/>
      <c r="AG220" s="289" t="s">
        <v>767</v>
      </c>
      <c r="AH220" s="287"/>
      <c r="AI220" s="287"/>
      <c r="AJ220" s="287"/>
      <c r="AK220" s="287"/>
      <c r="AL220" s="287"/>
      <c r="AM220" s="287"/>
      <c r="AN220" s="287"/>
      <c r="AO220" s="287"/>
      <c r="AP220" s="287"/>
      <c r="AQ220" s="288"/>
      <c r="AR220" s="2"/>
      <c r="AS220" s="2"/>
      <c r="AT220" s="2"/>
      <c r="AU220" s="2"/>
      <c r="AV220" s="2"/>
      <c r="AW220" s="2"/>
      <c r="AX220" s="2"/>
      <c r="AY220" s="2"/>
      <c r="AZ220" s="2"/>
      <c r="BA220" s="2"/>
      <c r="BB220" s="2"/>
      <c r="BC220" s="2"/>
      <c r="BD220" s="2"/>
      <c r="BE220" s="2"/>
      <c r="BF220" s="2"/>
      <c r="BG220" s="2"/>
      <c r="BH220" s="2"/>
      <c r="BI220" s="2"/>
      <c r="BJ220" s="2"/>
      <c r="BK220" s="2"/>
      <c r="BL220" s="2"/>
    </row>
    <row r="221" ht="18.75" hidden="1" customHeight="1">
      <c r="A221" s="2"/>
      <c r="B221" s="268" t="str">
        <f t="shared" si="65"/>
        <v>Zulrah - Magic Fang</v>
      </c>
      <c r="C221" s="269"/>
      <c r="D221" s="269"/>
      <c r="E221" s="269"/>
      <c r="F221" s="269"/>
      <c r="G221" s="270"/>
      <c r="H221" s="271" t="s">
        <v>589</v>
      </c>
      <c r="I221" s="269"/>
      <c r="J221" s="270"/>
      <c r="K221" s="272">
        <f t="shared" si="4"/>
        <v>10</v>
      </c>
      <c r="L221" s="271">
        <f t="shared" si="66"/>
        <v>6</v>
      </c>
      <c r="M221" s="269"/>
      <c r="N221" s="270"/>
      <c r="O221" s="273">
        <f t="shared" si="67"/>
        <v>1</v>
      </c>
      <c r="P221" s="269"/>
      <c r="Q221" s="270"/>
      <c r="R221" s="274">
        <f t="shared" si="7"/>
        <v>1.666666667</v>
      </c>
      <c r="S221" s="269"/>
      <c r="T221" s="275"/>
      <c r="U221" s="2"/>
      <c r="V221" s="2"/>
      <c r="W221" s="285" t="s">
        <v>768</v>
      </c>
      <c r="X221" s="269"/>
      <c r="Y221" s="269"/>
      <c r="Z221" s="269"/>
      <c r="AA221" s="269"/>
      <c r="AB221" s="281"/>
      <c r="AC221" s="280">
        <v>29556.0</v>
      </c>
      <c r="AD221" s="269"/>
      <c r="AE221" s="269"/>
      <c r="AF221" s="281"/>
      <c r="AG221" s="289" t="s">
        <v>769</v>
      </c>
      <c r="AH221" s="287"/>
      <c r="AI221" s="287"/>
      <c r="AJ221" s="287"/>
      <c r="AK221" s="287"/>
      <c r="AL221" s="287"/>
      <c r="AM221" s="287"/>
      <c r="AN221" s="287"/>
      <c r="AO221" s="287"/>
      <c r="AP221" s="287"/>
      <c r="AQ221" s="288"/>
      <c r="AR221" s="2"/>
      <c r="AS221" s="2"/>
      <c r="AT221" s="2"/>
      <c r="AU221" s="2"/>
      <c r="AV221" s="2"/>
      <c r="AW221" s="2"/>
      <c r="AX221" s="2"/>
      <c r="AY221" s="2"/>
      <c r="AZ221" s="2"/>
      <c r="BA221" s="2"/>
      <c r="BB221" s="2"/>
      <c r="BC221" s="2"/>
      <c r="BD221" s="2"/>
      <c r="BE221" s="2"/>
      <c r="BF221" s="2"/>
      <c r="BG221" s="2"/>
      <c r="BH221" s="2"/>
      <c r="BI221" s="2"/>
      <c r="BJ221" s="2"/>
      <c r="BK221" s="2"/>
      <c r="BL221" s="2"/>
    </row>
    <row r="222" ht="18.75" hidden="1" customHeight="1">
      <c r="A222" s="2"/>
      <c r="B222" s="268" t="str">
        <f t="shared" si="65"/>
        <v>Zulrah - Serpentine Visage</v>
      </c>
      <c r="C222" s="269"/>
      <c r="D222" s="269"/>
      <c r="E222" s="269"/>
      <c r="F222" s="269"/>
      <c r="G222" s="270"/>
      <c r="H222" s="271" t="s">
        <v>589</v>
      </c>
      <c r="I222" s="269"/>
      <c r="J222" s="270"/>
      <c r="K222" s="272">
        <f t="shared" si="4"/>
        <v>10</v>
      </c>
      <c r="L222" s="271">
        <f t="shared" si="66"/>
        <v>6</v>
      </c>
      <c r="M222" s="269"/>
      <c r="N222" s="270"/>
      <c r="O222" s="273">
        <f t="shared" si="67"/>
        <v>1</v>
      </c>
      <c r="P222" s="269"/>
      <c r="Q222" s="270"/>
      <c r="R222" s="274">
        <f t="shared" si="7"/>
        <v>1.666666667</v>
      </c>
      <c r="S222" s="269"/>
      <c r="T222" s="275"/>
      <c r="U222" s="2"/>
      <c r="V222" s="2"/>
      <c r="W222" s="285" t="s">
        <v>236</v>
      </c>
      <c r="X222" s="269"/>
      <c r="Y222" s="269"/>
      <c r="Z222" s="269"/>
      <c r="AA222" s="269"/>
      <c r="AB222" s="281"/>
      <c r="AC222" s="280">
        <v>1379733.0</v>
      </c>
      <c r="AD222" s="269"/>
      <c r="AE222" s="269"/>
      <c r="AF222" s="281"/>
      <c r="AG222" s="289" t="s">
        <v>120</v>
      </c>
      <c r="AH222" s="287"/>
      <c r="AI222" s="287"/>
      <c r="AJ222" s="287"/>
      <c r="AK222" s="287"/>
      <c r="AL222" s="287"/>
      <c r="AM222" s="287"/>
      <c r="AN222" s="287"/>
      <c r="AO222" s="287"/>
      <c r="AP222" s="287"/>
      <c r="AQ222" s="288"/>
      <c r="AR222" s="2"/>
      <c r="AS222" s="2"/>
      <c r="AT222" s="2"/>
      <c r="AU222" s="2"/>
      <c r="AV222" s="2"/>
      <c r="AW222" s="2"/>
      <c r="AX222" s="2"/>
      <c r="AY222" s="2"/>
      <c r="AZ222" s="2"/>
      <c r="BA222" s="2"/>
      <c r="BB222" s="2"/>
      <c r="BC222" s="2"/>
      <c r="BD222" s="2"/>
      <c r="BE222" s="2"/>
      <c r="BF222" s="2"/>
      <c r="BG222" s="2"/>
      <c r="BH222" s="2"/>
      <c r="BI222" s="2"/>
      <c r="BJ222" s="2"/>
      <c r="BK222" s="2"/>
      <c r="BL222" s="2"/>
    </row>
    <row r="223" ht="18.75" hidden="1" customHeight="1">
      <c r="A223" s="2"/>
      <c r="B223" s="268" t="str">
        <f t="shared" si="65"/>
        <v>Zulrah - Uncut Onyx</v>
      </c>
      <c r="C223" s="269"/>
      <c r="D223" s="269"/>
      <c r="E223" s="269"/>
      <c r="F223" s="269"/>
      <c r="G223" s="270"/>
      <c r="H223" s="271" t="s">
        <v>589</v>
      </c>
      <c r="I223" s="269"/>
      <c r="J223" s="270"/>
      <c r="K223" s="272">
        <f t="shared" si="4"/>
        <v>10</v>
      </c>
      <c r="L223" s="271">
        <f t="shared" si="66"/>
        <v>6</v>
      </c>
      <c r="M223" s="269"/>
      <c r="N223" s="270"/>
      <c r="O223" s="273">
        <f t="shared" si="67"/>
        <v>1</v>
      </c>
      <c r="P223" s="269"/>
      <c r="Q223" s="270"/>
      <c r="R223" s="274">
        <f t="shared" si="7"/>
        <v>1.666666667</v>
      </c>
      <c r="S223" s="269"/>
      <c r="T223" s="275"/>
      <c r="U223" s="2"/>
      <c r="V223" s="2"/>
      <c r="W223" s="285" t="s">
        <v>448</v>
      </c>
      <c r="X223" s="269"/>
      <c r="Y223" s="269"/>
      <c r="Z223" s="269"/>
      <c r="AA223" s="269"/>
      <c r="AB223" s="281"/>
      <c r="AC223" s="280">
        <v>1.23112552E8</v>
      </c>
      <c r="AD223" s="269"/>
      <c r="AE223" s="269"/>
      <c r="AF223" s="281"/>
      <c r="AG223" s="289" t="s">
        <v>95</v>
      </c>
      <c r="AH223" s="287"/>
      <c r="AI223" s="287"/>
      <c r="AJ223" s="287"/>
      <c r="AK223" s="287"/>
      <c r="AL223" s="287"/>
      <c r="AM223" s="287"/>
      <c r="AN223" s="287"/>
      <c r="AO223" s="287"/>
      <c r="AP223" s="287"/>
      <c r="AQ223" s="288"/>
      <c r="AR223" s="2"/>
      <c r="AS223" s="2"/>
      <c r="AT223" s="2"/>
      <c r="AU223" s="2"/>
      <c r="AV223" s="2"/>
      <c r="AW223" s="2"/>
      <c r="AX223" s="2"/>
      <c r="AY223" s="2"/>
      <c r="AZ223" s="2"/>
      <c r="BA223" s="2"/>
      <c r="BB223" s="2"/>
      <c r="BC223" s="2"/>
      <c r="BD223" s="2"/>
      <c r="BE223" s="2"/>
      <c r="BF223" s="2"/>
      <c r="BG223" s="2"/>
      <c r="BH223" s="2"/>
      <c r="BI223" s="2"/>
      <c r="BJ223" s="2"/>
      <c r="BK223" s="2"/>
      <c r="BL223" s="2"/>
    </row>
    <row r="224" ht="18.75" hidden="1" customHeight="1">
      <c r="A224" s="2"/>
      <c r="B224" s="268" t="str">
        <f t="shared" si="65"/>
        <v>Zulrah - Mutagen (any)</v>
      </c>
      <c r="C224" s="269"/>
      <c r="D224" s="269"/>
      <c r="E224" s="269"/>
      <c r="F224" s="269"/>
      <c r="G224" s="270"/>
      <c r="H224" s="271" t="s">
        <v>589</v>
      </c>
      <c r="I224" s="269"/>
      <c r="J224" s="270"/>
      <c r="K224" s="272">
        <f t="shared" si="4"/>
        <v>10</v>
      </c>
      <c r="L224" s="271">
        <f t="shared" si="66"/>
        <v>6</v>
      </c>
      <c r="M224" s="269"/>
      <c r="N224" s="270"/>
      <c r="O224" s="273">
        <f t="shared" si="67"/>
        <v>3</v>
      </c>
      <c r="P224" s="269"/>
      <c r="Q224" s="270"/>
      <c r="R224" s="274">
        <f t="shared" si="7"/>
        <v>5</v>
      </c>
      <c r="S224" s="269"/>
      <c r="T224" s="275"/>
      <c r="U224" s="2"/>
      <c r="V224" s="2"/>
      <c r="W224" s="285" t="s">
        <v>454</v>
      </c>
      <c r="X224" s="269"/>
      <c r="Y224" s="269"/>
      <c r="Z224" s="269"/>
      <c r="AA224" s="269"/>
      <c r="AB224" s="281"/>
      <c r="AC224" s="280">
        <v>5.487906E7</v>
      </c>
      <c r="AD224" s="269"/>
      <c r="AE224" s="269"/>
      <c r="AF224" s="281"/>
      <c r="AG224" s="289" t="s">
        <v>770</v>
      </c>
      <c r="AH224" s="287"/>
      <c r="AI224" s="287"/>
      <c r="AJ224" s="287"/>
      <c r="AK224" s="287"/>
      <c r="AL224" s="287"/>
      <c r="AM224" s="287"/>
      <c r="AN224" s="287"/>
      <c r="AO224" s="287"/>
      <c r="AP224" s="287"/>
      <c r="AQ224" s="288"/>
      <c r="AR224" s="2"/>
      <c r="AS224" s="2"/>
      <c r="AT224" s="2"/>
      <c r="AU224" s="2"/>
      <c r="AV224" s="2"/>
      <c r="AW224" s="2"/>
      <c r="AX224" s="2"/>
      <c r="AY224" s="2"/>
      <c r="AZ224" s="2"/>
      <c r="BA224" s="2"/>
      <c r="BB224" s="2"/>
      <c r="BC224" s="2"/>
      <c r="BD224" s="2"/>
      <c r="BE224" s="2"/>
      <c r="BF224" s="2"/>
      <c r="BG224" s="2"/>
      <c r="BH224" s="2"/>
      <c r="BI224" s="2"/>
      <c r="BJ224" s="2"/>
      <c r="BK224" s="2"/>
      <c r="BL224" s="2"/>
    </row>
    <row r="225" ht="18.75" hidden="1" customHeight="1">
      <c r="A225" s="2"/>
      <c r="B225" s="268" t="str">
        <f t="shared" si="65"/>
        <v>Zulrah - Jar of Swamp</v>
      </c>
      <c r="C225" s="269"/>
      <c r="D225" s="269"/>
      <c r="E225" s="269"/>
      <c r="F225" s="269"/>
      <c r="G225" s="270"/>
      <c r="H225" s="271" t="s">
        <v>589</v>
      </c>
      <c r="I225" s="269"/>
      <c r="J225" s="270"/>
      <c r="K225" s="272">
        <f t="shared" si="4"/>
        <v>10</v>
      </c>
      <c r="L225" s="271">
        <f t="shared" si="66"/>
        <v>6</v>
      </c>
      <c r="M225" s="269"/>
      <c r="N225" s="270"/>
      <c r="O225" s="273">
        <f t="shared" si="67"/>
        <v>2</v>
      </c>
      <c r="P225" s="269"/>
      <c r="Q225" s="270"/>
      <c r="R225" s="274">
        <f t="shared" si="7"/>
        <v>3.333333333</v>
      </c>
      <c r="S225" s="269"/>
      <c r="T225" s="275"/>
      <c r="U225" s="2"/>
      <c r="V225" s="2"/>
      <c r="W225" s="285" t="s">
        <v>280</v>
      </c>
      <c r="X225" s="269"/>
      <c r="Y225" s="269"/>
      <c r="Z225" s="269"/>
      <c r="AA225" s="269"/>
      <c r="AB225" s="281"/>
      <c r="AC225" s="280">
        <v>3.5091559E7</v>
      </c>
      <c r="AD225" s="269"/>
      <c r="AE225" s="269"/>
      <c r="AF225" s="281"/>
      <c r="AG225" s="289" t="s">
        <v>129</v>
      </c>
      <c r="AH225" s="287"/>
      <c r="AI225" s="287"/>
      <c r="AJ225" s="287"/>
      <c r="AK225" s="287"/>
      <c r="AL225" s="287"/>
      <c r="AM225" s="287"/>
      <c r="AN225" s="287"/>
      <c r="AO225" s="287"/>
      <c r="AP225" s="287"/>
      <c r="AQ225" s="288"/>
      <c r="AR225" s="2"/>
      <c r="AS225" s="2"/>
      <c r="AT225" s="2"/>
      <c r="AU225" s="2"/>
      <c r="AV225" s="2"/>
      <c r="AW225" s="2"/>
      <c r="AX225" s="2"/>
      <c r="AY225" s="2"/>
      <c r="AZ225" s="2"/>
      <c r="BA225" s="2"/>
      <c r="BB225" s="2"/>
      <c r="BC225" s="2"/>
      <c r="BD225" s="2"/>
      <c r="BE225" s="2"/>
      <c r="BF225" s="2"/>
      <c r="BG225" s="2"/>
      <c r="BH225" s="2"/>
      <c r="BI225" s="2"/>
      <c r="BJ225" s="2"/>
      <c r="BK225" s="2"/>
      <c r="BL225" s="2"/>
    </row>
    <row r="226" ht="18.75" hidden="1" customHeight="1">
      <c r="A226" s="2"/>
      <c r="B226" s="268" t="str">
        <f t="shared" si="65"/>
        <v>Zulrah - Pet Snakeling</v>
      </c>
      <c r="C226" s="269"/>
      <c r="D226" s="269"/>
      <c r="E226" s="269"/>
      <c r="F226" s="269"/>
      <c r="G226" s="270"/>
      <c r="H226" s="271" t="s">
        <v>589</v>
      </c>
      <c r="I226" s="269"/>
      <c r="J226" s="270"/>
      <c r="K226" s="272">
        <f t="shared" si="4"/>
        <v>10</v>
      </c>
      <c r="L226" s="271">
        <f t="shared" si="66"/>
        <v>6</v>
      </c>
      <c r="M226" s="269"/>
      <c r="N226" s="270"/>
      <c r="O226" s="273">
        <f t="shared" si="67"/>
        <v>2</v>
      </c>
      <c r="P226" s="269"/>
      <c r="Q226" s="270"/>
      <c r="R226" s="274">
        <f t="shared" si="7"/>
        <v>3.333333333</v>
      </c>
      <c r="S226" s="269"/>
      <c r="T226" s="275"/>
      <c r="U226" s="2"/>
      <c r="V226" s="2"/>
      <c r="W226" s="285" t="s">
        <v>291</v>
      </c>
      <c r="X226" s="269"/>
      <c r="Y226" s="269"/>
      <c r="Z226" s="269"/>
      <c r="AA226" s="269"/>
      <c r="AB226" s="281"/>
      <c r="AC226" s="280">
        <v>896607.0</v>
      </c>
      <c r="AD226" s="269"/>
      <c r="AE226" s="269"/>
      <c r="AF226" s="281"/>
      <c r="AG226" s="289" t="s">
        <v>150</v>
      </c>
      <c r="AH226" s="287"/>
      <c r="AI226" s="287"/>
      <c r="AJ226" s="287"/>
      <c r="AK226" s="287"/>
      <c r="AL226" s="287"/>
      <c r="AM226" s="287"/>
      <c r="AN226" s="287"/>
      <c r="AO226" s="287"/>
      <c r="AP226" s="287"/>
      <c r="AQ226" s="288"/>
      <c r="AR226" s="2"/>
      <c r="AS226" s="2"/>
      <c r="AT226" s="2"/>
      <c r="AU226" s="2"/>
      <c r="AV226" s="2"/>
      <c r="AW226" s="2"/>
      <c r="AX226" s="2"/>
      <c r="AY226" s="2"/>
      <c r="AZ226" s="2"/>
      <c r="BA226" s="2"/>
      <c r="BB226" s="2"/>
      <c r="BC226" s="2"/>
      <c r="BD226" s="2"/>
      <c r="BE226" s="2"/>
      <c r="BF226" s="2"/>
      <c r="BG226" s="2"/>
      <c r="BH226" s="2"/>
      <c r="BI226" s="2"/>
      <c r="BJ226" s="2"/>
      <c r="BK226" s="2"/>
      <c r="BL226" s="2"/>
    </row>
    <row r="227" ht="18.75" hidden="1" customHeight="1">
      <c r="A227" s="2"/>
      <c r="B227" s="268" t="str">
        <f t="shared" ref="B227:B228" si="68">$AG$30 &amp; " - " &amp; AG32</f>
        <v>Armoured Zombies - Zombie Axe</v>
      </c>
      <c r="C227" s="269"/>
      <c r="D227" s="269"/>
      <c r="E227" s="269"/>
      <c r="F227" s="269"/>
      <c r="G227" s="270"/>
      <c r="H227" s="271" t="s">
        <v>578</v>
      </c>
      <c r="I227" s="269"/>
      <c r="J227" s="270"/>
      <c r="K227" s="272">
        <f t="shared" si="4"/>
        <v>5</v>
      </c>
      <c r="L227" s="271">
        <f t="shared" ref="L227:L228" si="69">$AP$30</f>
        <v>8</v>
      </c>
      <c r="M227" s="269"/>
      <c r="N227" s="270"/>
      <c r="O227" s="273">
        <f t="shared" ref="O227:O228" si="70">AO32</f>
        <v>1</v>
      </c>
      <c r="P227" s="269"/>
      <c r="Q227" s="270"/>
      <c r="R227" s="274">
        <f t="shared" si="7"/>
        <v>0.625</v>
      </c>
      <c r="S227" s="269"/>
      <c r="T227" s="275"/>
      <c r="U227" s="2"/>
      <c r="V227" s="2"/>
      <c r="W227" s="285" t="s">
        <v>296</v>
      </c>
      <c r="X227" s="269"/>
      <c r="Y227" s="269"/>
      <c r="Z227" s="269"/>
      <c r="AA227" s="269"/>
      <c r="AB227" s="281"/>
      <c r="AC227" s="280">
        <v>332968.0</v>
      </c>
      <c r="AD227" s="269"/>
      <c r="AE227" s="269"/>
      <c r="AF227" s="281"/>
      <c r="AG227" s="289" t="s">
        <v>107</v>
      </c>
      <c r="AH227" s="287"/>
      <c r="AI227" s="287"/>
      <c r="AJ227" s="287"/>
      <c r="AK227" s="287"/>
      <c r="AL227" s="287"/>
      <c r="AM227" s="287"/>
      <c r="AN227" s="287"/>
      <c r="AO227" s="287"/>
      <c r="AP227" s="287"/>
      <c r="AQ227" s="288"/>
      <c r="AR227" s="2"/>
      <c r="AS227" s="2"/>
      <c r="AT227" s="2"/>
      <c r="AU227" s="2"/>
      <c r="AV227" s="2"/>
      <c r="AW227" s="2"/>
      <c r="AX227" s="2"/>
      <c r="AY227" s="2"/>
      <c r="AZ227" s="2"/>
      <c r="BA227" s="2"/>
      <c r="BB227" s="2"/>
      <c r="BC227" s="2"/>
      <c r="BD227" s="2"/>
      <c r="BE227" s="2"/>
      <c r="BF227" s="2"/>
      <c r="BG227" s="2"/>
      <c r="BH227" s="2"/>
      <c r="BI227" s="2"/>
      <c r="BJ227" s="2"/>
      <c r="BK227" s="2"/>
      <c r="BL227" s="2"/>
    </row>
    <row r="228" ht="18.75" hidden="1" customHeight="1">
      <c r="A228" s="2"/>
      <c r="B228" s="268" t="str">
        <f t="shared" si="68"/>
        <v>Armoured Zombies - Zombie Helm</v>
      </c>
      <c r="C228" s="269"/>
      <c r="D228" s="269"/>
      <c r="E228" s="269"/>
      <c r="F228" s="269"/>
      <c r="G228" s="270"/>
      <c r="H228" s="271" t="s">
        <v>578</v>
      </c>
      <c r="I228" s="269"/>
      <c r="J228" s="270"/>
      <c r="K228" s="272">
        <f t="shared" si="4"/>
        <v>5</v>
      </c>
      <c r="L228" s="271">
        <f t="shared" si="69"/>
        <v>8</v>
      </c>
      <c r="M228" s="269"/>
      <c r="N228" s="270"/>
      <c r="O228" s="273">
        <f t="shared" si="70"/>
        <v>1</v>
      </c>
      <c r="P228" s="269"/>
      <c r="Q228" s="270"/>
      <c r="R228" s="274">
        <f t="shared" si="7"/>
        <v>0.625</v>
      </c>
      <c r="S228" s="269"/>
      <c r="T228" s="275"/>
      <c r="U228" s="2"/>
      <c r="V228" s="2"/>
      <c r="W228" s="285" t="s">
        <v>285</v>
      </c>
      <c r="X228" s="269"/>
      <c r="Y228" s="269"/>
      <c r="Z228" s="269"/>
      <c r="AA228" s="269"/>
      <c r="AB228" s="281"/>
      <c r="AC228" s="280">
        <v>124904.0</v>
      </c>
      <c r="AD228" s="269"/>
      <c r="AE228" s="269"/>
      <c r="AF228" s="281"/>
      <c r="AG228" s="289" t="s">
        <v>771</v>
      </c>
      <c r="AH228" s="287"/>
      <c r="AI228" s="287"/>
      <c r="AJ228" s="287"/>
      <c r="AK228" s="287"/>
      <c r="AL228" s="287"/>
      <c r="AM228" s="287"/>
      <c r="AN228" s="287"/>
      <c r="AO228" s="287"/>
      <c r="AP228" s="287"/>
      <c r="AQ228" s="288"/>
      <c r="AR228" s="2"/>
      <c r="AS228" s="2"/>
      <c r="AT228" s="2"/>
      <c r="AU228" s="2"/>
      <c r="AV228" s="2"/>
      <c r="AW228" s="2"/>
      <c r="AX228" s="2"/>
      <c r="AY228" s="2"/>
      <c r="AZ228" s="2"/>
      <c r="BA228" s="2"/>
      <c r="BB228" s="2"/>
      <c r="BC228" s="2"/>
      <c r="BD228" s="2"/>
      <c r="BE228" s="2"/>
      <c r="BF228" s="2"/>
      <c r="BG228" s="2"/>
      <c r="BH228" s="2"/>
      <c r="BI228" s="2"/>
      <c r="BJ228" s="2"/>
      <c r="BK228" s="2"/>
      <c r="BL228" s="2"/>
    </row>
    <row r="229" ht="18.75" hidden="1" customHeight="1">
      <c r="A229" s="2"/>
      <c r="B229" s="268" t="str">
        <f t="shared" ref="B229:B232" si="71">$AQ$44 &amp; " - " &amp; AQ46</f>
        <v>Doom of Mokhaiotl - Avernic Treads</v>
      </c>
      <c r="C229" s="269"/>
      <c r="D229" s="269"/>
      <c r="E229" s="269"/>
      <c r="F229" s="269"/>
      <c r="G229" s="270"/>
      <c r="H229" s="271" t="s">
        <v>603</v>
      </c>
      <c r="I229" s="269"/>
      <c r="J229" s="270"/>
      <c r="K229" s="272">
        <f t="shared" si="4"/>
        <v>20</v>
      </c>
      <c r="L229" s="271">
        <f t="shared" ref="L229:L232" si="72">$AZ$44</f>
        <v>3</v>
      </c>
      <c r="M229" s="269"/>
      <c r="N229" s="270"/>
      <c r="O229" s="273">
        <f t="shared" ref="O229:O232" si="73">AY46</f>
        <v>2</v>
      </c>
      <c r="P229" s="269"/>
      <c r="Q229" s="270"/>
      <c r="R229" s="274">
        <f t="shared" si="7"/>
        <v>13.33333333</v>
      </c>
      <c r="S229" s="269"/>
      <c r="T229" s="275"/>
      <c r="U229" s="2"/>
      <c r="V229" s="2"/>
      <c r="W229" s="285" t="s">
        <v>302</v>
      </c>
      <c r="X229" s="269"/>
      <c r="Y229" s="269"/>
      <c r="Z229" s="269"/>
      <c r="AA229" s="269"/>
      <c r="AB229" s="281"/>
      <c r="AC229" s="280">
        <v>47369.0</v>
      </c>
      <c r="AD229" s="269"/>
      <c r="AE229" s="269"/>
      <c r="AF229" s="281"/>
      <c r="AG229" s="289" t="s">
        <v>227</v>
      </c>
      <c r="AH229" s="287"/>
      <c r="AI229" s="287"/>
      <c r="AJ229" s="287"/>
      <c r="AK229" s="287"/>
      <c r="AL229" s="287"/>
      <c r="AM229" s="287"/>
      <c r="AN229" s="287"/>
      <c r="AO229" s="287"/>
      <c r="AP229" s="287"/>
      <c r="AQ229" s="288"/>
      <c r="AR229" s="2"/>
      <c r="AS229" s="2"/>
      <c r="AT229" s="2"/>
      <c r="AU229" s="2"/>
      <c r="AV229" s="2"/>
      <c r="AW229" s="2"/>
      <c r="AX229" s="2"/>
      <c r="AY229" s="2"/>
      <c r="AZ229" s="2"/>
      <c r="BA229" s="2"/>
      <c r="BB229" s="2"/>
      <c r="BC229" s="2"/>
      <c r="BD229" s="2"/>
      <c r="BE229" s="2"/>
      <c r="BF229" s="2"/>
      <c r="BG229" s="2"/>
      <c r="BH229" s="2"/>
      <c r="BI229" s="2"/>
      <c r="BJ229" s="2"/>
      <c r="BK229" s="2"/>
      <c r="BL229" s="2"/>
    </row>
    <row r="230" ht="18.75" hidden="1" customHeight="1">
      <c r="A230" s="2"/>
      <c r="B230" s="268" t="str">
        <f t="shared" si="71"/>
        <v>Doom of Mokhaiotl - Eye of Ayak</v>
      </c>
      <c r="C230" s="269"/>
      <c r="D230" s="269"/>
      <c r="E230" s="269"/>
      <c r="F230" s="269"/>
      <c r="G230" s="270"/>
      <c r="H230" s="271" t="s">
        <v>603</v>
      </c>
      <c r="I230" s="269"/>
      <c r="J230" s="270"/>
      <c r="K230" s="272">
        <f t="shared" si="4"/>
        <v>20</v>
      </c>
      <c r="L230" s="271">
        <f t="shared" si="72"/>
        <v>3</v>
      </c>
      <c r="M230" s="269"/>
      <c r="N230" s="270"/>
      <c r="O230" s="273">
        <f t="shared" si="73"/>
        <v>1</v>
      </c>
      <c r="P230" s="269"/>
      <c r="Q230" s="270"/>
      <c r="R230" s="274">
        <f t="shared" si="7"/>
        <v>6.666666667</v>
      </c>
      <c r="S230" s="269"/>
      <c r="T230" s="275"/>
      <c r="U230" s="2"/>
      <c r="V230" s="2"/>
      <c r="W230" s="285" t="s">
        <v>301</v>
      </c>
      <c r="X230" s="269"/>
      <c r="Y230" s="269"/>
      <c r="Z230" s="269"/>
      <c r="AA230" s="269"/>
      <c r="AB230" s="281"/>
      <c r="AC230" s="280">
        <v>1.387378105E9</v>
      </c>
      <c r="AD230" s="269"/>
      <c r="AE230" s="269"/>
      <c r="AF230" s="281"/>
      <c r="AG230" s="289" t="s">
        <v>772</v>
      </c>
      <c r="AH230" s="287"/>
      <c r="AI230" s="287"/>
      <c r="AJ230" s="287"/>
      <c r="AK230" s="287"/>
      <c r="AL230" s="287"/>
      <c r="AM230" s="287"/>
      <c r="AN230" s="287"/>
      <c r="AO230" s="287"/>
      <c r="AP230" s="287"/>
      <c r="AQ230" s="288"/>
      <c r="AR230" s="2"/>
      <c r="AS230" s="2"/>
      <c r="AT230" s="2"/>
      <c r="AU230" s="2"/>
      <c r="AV230" s="2"/>
      <c r="AW230" s="2"/>
      <c r="AX230" s="2"/>
      <c r="AY230" s="2"/>
      <c r="AZ230" s="2"/>
      <c r="BA230" s="2"/>
      <c r="BB230" s="2"/>
      <c r="BC230" s="2"/>
      <c r="BD230" s="2"/>
      <c r="BE230" s="2"/>
      <c r="BF230" s="2"/>
      <c r="BG230" s="2"/>
      <c r="BH230" s="2"/>
      <c r="BI230" s="2"/>
      <c r="BJ230" s="2"/>
      <c r="BK230" s="2"/>
      <c r="BL230" s="2"/>
    </row>
    <row r="231" ht="18.75" hidden="1" customHeight="1">
      <c r="A231" s="2"/>
      <c r="B231" s="268" t="str">
        <f t="shared" si="71"/>
        <v>Doom of Mokhaiotl - Mokhaiotl Cloth</v>
      </c>
      <c r="C231" s="269"/>
      <c r="D231" s="269"/>
      <c r="E231" s="269"/>
      <c r="F231" s="269"/>
      <c r="G231" s="270"/>
      <c r="H231" s="271" t="s">
        <v>603</v>
      </c>
      <c r="I231" s="269"/>
      <c r="J231" s="270"/>
      <c r="K231" s="272">
        <f t="shared" si="4"/>
        <v>20</v>
      </c>
      <c r="L231" s="271">
        <f t="shared" si="72"/>
        <v>3</v>
      </c>
      <c r="M231" s="269"/>
      <c r="N231" s="270"/>
      <c r="O231" s="273">
        <f t="shared" si="73"/>
        <v>1</v>
      </c>
      <c r="P231" s="269"/>
      <c r="Q231" s="270"/>
      <c r="R231" s="274">
        <f t="shared" si="7"/>
        <v>6.666666667</v>
      </c>
      <c r="S231" s="269"/>
      <c r="T231" s="275"/>
      <c r="U231" s="2"/>
      <c r="V231" s="2"/>
      <c r="W231" s="285" t="s">
        <v>298</v>
      </c>
      <c r="X231" s="269"/>
      <c r="Y231" s="269"/>
      <c r="Z231" s="269"/>
      <c r="AA231" s="269"/>
      <c r="AB231" s="281"/>
      <c r="AC231" s="280">
        <v>1.255328185E9</v>
      </c>
      <c r="AD231" s="269"/>
      <c r="AE231" s="269"/>
      <c r="AF231" s="281"/>
      <c r="AG231" s="289" t="s">
        <v>773</v>
      </c>
      <c r="AH231" s="287"/>
      <c r="AI231" s="287"/>
      <c r="AJ231" s="287"/>
      <c r="AK231" s="287"/>
      <c r="AL231" s="287"/>
      <c r="AM231" s="287"/>
      <c r="AN231" s="287"/>
      <c r="AO231" s="287"/>
      <c r="AP231" s="287"/>
      <c r="AQ231" s="288"/>
      <c r="AR231" s="2"/>
      <c r="AS231" s="2"/>
      <c r="AT231" s="2"/>
      <c r="AU231" s="2"/>
      <c r="AV231" s="2"/>
      <c r="AW231" s="2"/>
      <c r="AX231" s="2"/>
      <c r="AY231" s="2"/>
      <c r="AZ231" s="2"/>
      <c r="BA231" s="2"/>
      <c r="BB231" s="2"/>
      <c r="BC231" s="2"/>
      <c r="BD231" s="2"/>
      <c r="BE231" s="2"/>
      <c r="BF231" s="2"/>
      <c r="BG231" s="2"/>
      <c r="BH231" s="2"/>
      <c r="BI231" s="2"/>
      <c r="BJ231" s="2"/>
      <c r="BK231" s="2"/>
      <c r="BL231" s="2"/>
    </row>
    <row r="232" ht="18.75" hidden="1" customHeight="1">
      <c r="A232" s="2"/>
      <c r="B232" s="268" t="str">
        <f t="shared" si="71"/>
        <v>Doom of Mokhaiotl - Dom</v>
      </c>
      <c r="C232" s="269"/>
      <c r="D232" s="269"/>
      <c r="E232" s="269"/>
      <c r="F232" s="269"/>
      <c r="G232" s="270"/>
      <c r="H232" s="271" t="s">
        <v>603</v>
      </c>
      <c r="I232" s="269"/>
      <c r="J232" s="270"/>
      <c r="K232" s="272">
        <f t="shared" si="4"/>
        <v>20</v>
      </c>
      <c r="L232" s="271">
        <f t="shared" si="72"/>
        <v>3</v>
      </c>
      <c r="M232" s="269"/>
      <c r="N232" s="270"/>
      <c r="O232" s="273">
        <f t="shared" si="73"/>
        <v>1</v>
      </c>
      <c r="P232" s="269"/>
      <c r="Q232" s="270"/>
      <c r="R232" s="274">
        <f t="shared" si="7"/>
        <v>6.666666667</v>
      </c>
      <c r="S232" s="269"/>
      <c r="T232" s="275"/>
      <c r="U232" s="2"/>
      <c r="V232" s="2"/>
      <c r="W232" s="285" t="s">
        <v>391</v>
      </c>
      <c r="X232" s="269"/>
      <c r="Y232" s="269"/>
      <c r="Z232" s="269"/>
      <c r="AA232" s="269"/>
      <c r="AB232" s="281"/>
      <c r="AC232" s="280">
        <v>8.20115678E8</v>
      </c>
      <c r="AD232" s="269"/>
      <c r="AE232" s="269"/>
      <c r="AF232" s="281"/>
      <c r="AG232" s="289" t="s">
        <v>774</v>
      </c>
      <c r="AH232" s="287"/>
      <c r="AI232" s="287"/>
      <c r="AJ232" s="287"/>
      <c r="AK232" s="287"/>
      <c r="AL232" s="287"/>
      <c r="AM232" s="287"/>
      <c r="AN232" s="287"/>
      <c r="AO232" s="287"/>
      <c r="AP232" s="287"/>
      <c r="AQ232" s="288"/>
      <c r="AR232" s="2"/>
      <c r="AS232" s="2"/>
      <c r="AT232" s="2"/>
      <c r="AU232" s="2"/>
      <c r="AV232" s="2"/>
      <c r="AW232" s="2"/>
      <c r="AX232" s="2"/>
      <c r="AY232" s="2"/>
      <c r="AZ232" s="2"/>
      <c r="BA232" s="2"/>
      <c r="BB232" s="2"/>
      <c r="BC232" s="2"/>
      <c r="BD232" s="2"/>
      <c r="BE232" s="2"/>
      <c r="BF232" s="2"/>
      <c r="BG232" s="2"/>
      <c r="BH232" s="2"/>
      <c r="BI232" s="2"/>
      <c r="BJ232" s="2"/>
      <c r="BK232" s="2"/>
      <c r="BL232" s="2"/>
    </row>
    <row r="233" ht="18.75" hidden="1" customHeight="1">
      <c r="A233" s="2"/>
      <c r="B233" s="268" t="str">
        <f>$BA$37 &amp; " - " &amp; BA39</f>
        <v>Abyssal Sire - Unsired</v>
      </c>
      <c r="C233" s="269"/>
      <c r="D233" s="269"/>
      <c r="E233" s="269"/>
      <c r="F233" s="269"/>
      <c r="G233" s="270"/>
      <c r="H233" s="271" t="s">
        <v>589</v>
      </c>
      <c r="I233" s="269"/>
      <c r="J233" s="270"/>
      <c r="K233" s="272">
        <f t="shared" si="4"/>
        <v>10</v>
      </c>
      <c r="L233" s="271">
        <f>$BJ$37</f>
        <v>5</v>
      </c>
      <c r="M233" s="269"/>
      <c r="N233" s="270"/>
      <c r="O233" s="273">
        <f>BI39</f>
        <v>1</v>
      </c>
      <c r="P233" s="269"/>
      <c r="Q233" s="270"/>
      <c r="R233" s="274">
        <f t="shared" si="7"/>
        <v>2</v>
      </c>
      <c r="S233" s="269"/>
      <c r="T233" s="275"/>
      <c r="U233" s="2"/>
      <c r="V233" s="2"/>
      <c r="W233" s="285" t="s">
        <v>775</v>
      </c>
      <c r="X233" s="269"/>
      <c r="Y233" s="269"/>
      <c r="Z233" s="269"/>
      <c r="AA233" s="269"/>
      <c r="AB233" s="281"/>
      <c r="AC233" s="280">
        <v>9053848.0</v>
      </c>
      <c r="AD233" s="269"/>
      <c r="AE233" s="269"/>
      <c r="AF233" s="281"/>
      <c r="AG233" s="289" t="s">
        <v>776</v>
      </c>
      <c r="AH233" s="287"/>
      <c r="AI233" s="287"/>
      <c r="AJ233" s="287"/>
      <c r="AK233" s="287"/>
      <c r="AL233" s="287"/>
      <c r="AM233" s="287"/>
      <c r="AN233" s="287"/>
      <c r="AO233" s="287"/>
      <c r="AP233" s="287"/>
      <c r="AQ233" s="288"/>
      <c r="AR233" s="2"/>
      <c r="AS233" s="2"/>
      <c r="AT233" s="2"/>
      <c r="AU233" s="2"/>
      <c r="AV233" s="2"/>
      <c r="AW233" s="2"/>
      <c r="AX233" s="2"/>
      <c r="AY233" s="2"/>
      <c r="AZ233" s="2"/>
      <c r="BA233" s="2"/>
      <c r="BB233" s="2"/>
      <c r="BC233" s="2"/>
      <c r="BD233" s="2"/>
      <c r="BE233" s="2"/>
      <c r="BF233" s="2"/>
      <c r="BG233" s="2"/>
      <c r="BH233" s="2"/>
      <c r="BI233" s="2"/>
      <c r="BJ233" s="2"/>
      <c r="BK233" s="2"/>
      <c r="BL233" s="2"/>
    </row>
    <row r="234" ht="18.75" hidden="1" customHeight="1">
      <c r="A234" s="2"/>
      <c r="B234" s="268" t="str">
        <f t="shared" ref="B234:B239" si="74">$C$43 &amp; " - " &amp; C45</f>
        <v>Alchemical Hydra - Brimstone Ring Piece</v>
      </c>
      <c r="C234" s="269"/>
      <c r="D234" s="269"/>
      <c r="E234" s="269"/>
      <c r="F234" s="269"/>
      <c r="G234" s="270"/>
      <c r="H234" s="271" t="s">
        <v>603</v>
      </c>
      <c r="I234" s="269"/>
      <c r="J234" s="270"/>
      <c r="K234" s="272">
        <f t="shared" si="4"/>
        <v>20</v>
      </c>
      <c r="L234" s="271">
        <f t="shared" ref="L234:L239" si="75">$L$43</f>
        <v>6</v>
      </c>
      <c r="M234" s="269"/>
      <c r="N234" s="270"/>
      <c r="O234" s="273">
        <f t="shared" ref="O234:O239" si="76">K45</f>
        <v>1</v>
      </c>
      <c r="P234" s="269"/>
      <c r="Q234" s="270"/>
      <c r="R234" s="274">
        <f t="shared" si="7"/>
        <v>3.333333333</v>
      </c>
      <c r="S234" s="269"/>
      <c r="T234" s="275"/>
      <c r="U234" s="2"/>
      <c r="V234" s="2"/>
      <c r="W234" s="285" t="s">
        <v>777</v>
      </c>
      <c r="X234" s="269"/>
      <c r="Y234" s="269"/>
      <c r="Z234" s="269"/>
      <c r="AA234" s="269"/>
      <c r="AB234" s="281"/>
      <c r="AC234" s="280">
        <v>4547794.0</v>
      </c>
      <c r="AD234" s="269"/>
      <c r="AE234" s="269"/>
      <c r="AF234" s="281"/>
      <c r="AG234" s="289" t="s">
        <v>778</v>
      </c>
      <c r="AH234" s="287"/>
      <c r="AI234" s="287"/>
      <c r="AJ234" s="287"/>
      <c r="AK234" s="287"/>
      <c r="AL234" s="287"/>
      <c r="AM234" s="287"/>
      <c r="AN234" s="287"/>
      <c r="AO234" s="287"/>
      <c r="AP234" s="287"/>
      <c r="AQ234" s="288"/>
      <c r="AR234" s="2"/>
      <c r="AS234" s="2"/>
      <c r="AT234" s="2"/>
      <c r="AU234" s="2"/>
      <c r="AV234" s="2"/>
      <c r="AW234" s="2"/>
      <c r="AX234" s="2"/>
      <c r="AY234" s="2"/>
      <c r="AZ234" s="2"/>
      <c r="BA234" s="2"/>
      <c r="BB234" s="2"/>
      <c r="BC234" s="2"/>
      <c r="BD234" s="2"/>
      <c r="BE234" s="2"/>
      <c r="BF234" s="2"/>
      <c r="BG234" s="2"/>
      <c r="BH234" s="2"/>
      <c r="BI234" s="2"/>
      <c r="BJ234" s="2"/>
      <c r="BK234" s="2"/>
      <c r="BL234" s="2"/>
    </row>
    <row r="235" ht="18.75" hidden="1" customHeight="1">
      <c r="A235" s="2"/>
      <c r="B235" s="268" t="str">
        <f t="shared" si="74"/>
        <v>Alchemical Hydra - Hydra's Tail</v>
      </c>
      <c r="C235" s="269"/>
      <c r="D235" s="269"/>
      <c r="E235" s="269"/>
      <c r="F235" s="269"/>
      <c r="G235" s="270"/>
      <c r="H235" s="271" t="s">
        <v>603</v>
      </c>
      <c r="I235" s="269"/>
      <c r="J235" s="270"/>
      <c r="K235" s="272">
        <f t="shared" si="4"/>
        <v>20</v>
      </c>
      <c r="L235" s="271">
        <f t="shared" si="75"/>
        <v>6</v>
      </c>
      <c r="M235" s="269"/>
      <c r="N235" s="270"/>
      <c r="O235" s="273">
        <f t="shared" si="76"/>
        <v>2</v>
      </c>
      <c r="P235" s="269"/>
      <c r="Q235" s="270"/>
      <c r="R235" s="274">
        <f t="shared" si="7"/>
        <v>6.666666667</v>
      </c>
      <c r="S235" s="269"/>
      <c r="T235" s="275"/>
      <c r="U235" s="2"/>
      <c r="V235" s="2"/>
      <c r="W235" s="285" t="s">
        <v>779</v>
      </c>
      <c r="X235" s="269"/>
      <c r="Y235" s="269"/>
      <c r="Z235" s="269"/>
      <c r="AA235" s="269"/>
      <c r="AB235" s="281"/>
      <c r="AC235" s="280">
        <v>3859748.0</v>
      </c>
      <c r="AD235" s="269"/>
      <c r="AE235" s="269"/>
      <c r="AF235" s="281"/>
      <c r="AG235" s="289" t="s">
        <v>780</v>
      </c>
      <c r="AH235" s="287"/>
      <c r="AI235" s="287"/>
      <c r="AJ235" s="287"/>
      <c r="AK235" s="287"/>
      <c r="AL235" s="287"/>
      <c r="AM235" s="287"/>
      <c r="AN235" s="287"/>
      <c r="AO235" s="287"/>
      <c r="AP235" s="287"/>
      <c r="AQ235" s="288"/>
      <c r="AR235" s="2"/>
      <c r="AS235" s="2"/>
      <c r="AT235" s="2"/>
      <c r="AU235" s="2"/>
      <c r="AV235" s="2"/>
      <c r="AW235" s="2"/>
      <c r="AX235" s="2"/>
      <c r="AY235" s="2"/>
      <c r="AZ235" s="2"/>
      <c r="BA235" s="2"/>
      <c r="BB235" s="2"/>
      <c r="BC235" s="2"/>
      <c r="BD235" s="2"/>
      <c r="BE235" s="2"/>
      <c r="BF235" s="2"/>
      <c r="BG235" s="2"/>
      <c r="BH235" s="2"/>
      <c r="BI235" s="2"/>
      <c r="BJ235" s="2"/>
      <c r="BK235" s="2"/>
      <c r="BL235" s="2"/>
    </row>
    <row r="236" ht="18.75" hidden="1" customHeight="1">
      <c r="A236" s="2"/>
      <c r="B236" s="268" t="str">
        <f t="shared" si="74"/>
        <v>Alchemical Hydra - Hydra's Leather</v>
      </c>
      <c r="C236" s="269"/>
      <c r="D236" s="269"/>
      <c r="E236" s="269"/>
      <c r="F236" s="269"/>
      <c r="G236" s="270"/>
      <c r="H236" s="271" t="s">
        <v>603</v>
      </c>
      <c r="I236" s="269"/>
      <c r="J236" s="270"/>
      <c r="K236" s="272">
        <f t="shared" si="4"/>
        <v>20</v>
      </c>
      <c r="L236" s="271">
        <f t="shared" si="75"/>
        <v>6</v>
      </c>
      <c r="M236" s="269"/>
      <c r="N236" s="270"/>
      <c r="O236" s="273">
        <f t="shared" si="76"/>
        <v>2</v>
      </c>
      <c r="P236" s="269"/>
      <c r="Q236" s="270"/>
      <c r="R236" s="274">
        <f t="shared" si="7"/>
        <v>6.666666667</v>
      </c>
      <c r="S236" s="269"/>
      <c r="T236" s="275"/>
      <c r="U236" s="2"/>
      <c r="V236" s="2"/>
      <c r="W236" s="285" t="s">
        <v>781</v>
      </c>
      <c r="X236" s="269"/>
      <c r="Y236" s="269"/>
      <c r="Z236" s="269"/>
      <c r="AA236" s="269"/>
      <c r="AB236" s="281"/>
      <c r="AC236" s="280">
        <v>3665932.0</v>
      </c>
      <c r="AD236" s="269"/>
      <c r="AE236" s="269"/>
      <c r="AF236" s="281"/>
      <c r="AG236" s="289" t="s">
        <v>782</v>
      </c>
      <c r="AH236" s="287"/>
      <c r="AI236" s="287"/>
      <c r="AJ236" s="287"/>
      <c r="AK236" s="287"/>
      <c r="AL236" s="287"/>
      <c r="AM236" s="287"/>
      <c r="AN236" s="287"/>
      <c r="AO236" s="287"/>
      <c r="AP236" s="287"/>
      <c r="AQ236" s="288"/>
      <c r="AR236" s="2"/>
      <c r="AS236" s="2"/>
      <c r="AT236" s="2"/>
      <c r="AU236" s="2"/>
      <c r="AV236" s="2"/>
      <c r="AW236" s="2"/>
      <c r="AX236" s="2"/>
      <c r="AY236" s="2"/>
      <c r="AZ236" s="2"/>
      <c r="BA236" s="2"/>
      <c r="BB236" s="2"/>
      <c r="BC236" s="2"/>
      <c r="BD236" s="2"/>
      <c r="BE236" s="2"/>
      <c r="BF236" s="2"/>
      <c r="BG236" s="2"/>
      <c r="BH236" s="2"/>
      <c r="BI236" s="2"/>
      <c r="BJ236" s="2"/>
      <c r="BK236" s="2"/>
      <c r="BL236" s="2"/>
    </row>
    <row r="237" ht="18.75" hidden="1" customHeight="1">
      <c r="A237" s="2"/>
      <c r="B237" s="268" t="str">
        <f t="shared" si="74"/>
        <v>Alchemical Hydra - Hydra's Claw</v>
      </c>
      <c r="C237" s="269"/>
      <c r="D237" s="269"/>
      <c r="E237" s="269"/>
      <c r="F237" s="269"/>
      <c r="G237" s="270"/>
      <c r="H237" s="271" t="s">
        <v>603</v>
      </c>
      <c r="I237" s="269"/>
      <c r="J237" s="270"/>
      <c r="K237" s="272">
        <f t="shared" si="4"/>
        <v>20</v>
      </c>
      <c r="L237" s="271">
        <f t="shared" si="75"/>
        <v>6</v>
      </c>
      <c r="M237" s="269"/>
      <c r="N237" s="270"/>
      <c r="O237" s="273">
        <f t="shared" si="76"/>
        <v>3</v>
      </c>
      <c r="P237" s="269"/>
      <c r="Q237" s="270"/>
      <c r="R237" s="274">
        <f t="shared" si="7"/>
        <v>10</v>
      </c>
      <c r="S237" s="269"/>
      <c r="T237" s="275"/>
      <c r="U237" s="2"/>
      <c r="V237" s="2"/>
      <c r="W237" s="285" t="s">
        <v>783</v>
      </c>
      <c r="X237" s="269"/>
      <c r="Y237" s="269"/>
      <c r="Z237" s="269"/>
      <c r="AA237" s="269"/>
      <c r="AB237" s="281"/>
      <c r="AC237" s="280">
        <v>2419063.0</v>
      </c>
      <c r="AD237" s="269"/>
      <c r="AE237" s="269"/>
      <c r="AF237" s="281"/>
      <c r="AG237" s="289" t="s">
        <v>784</v>
      </c>
      <c r="AH237" s="287"/>
      <c r="AI237" s="287"/>
      <c r="AJ237" s="287"/>
      <c r="AK237" s="287"/>
      <c r="AL237" s="287"/>
      <c r="AM237" s="287"/>
      <c r="AN237" s="287"/>
      <c r="AO237" s="287"/>
      <c r="AP237" s="287"/>
      <c r="AQ237" s="288"/>
      <c r="AR237" s="2"/>
      <c r="AS237" s="2"/>
      <c r="AT237" s="2"/>
      <c r="AU237" s="2"/>
      <c r="AV237" s="2"/>
      <c r="AW237" s="2"/>
      <c r="AX237" s="2"/>
      <c r="AY237" s="2"/>
      <c r="AZ237" s="2"/>
      <c r="BA237" s="2"/>
      <c r="BB237" s="2"/>
      <c r="BC237" s="2"/>
      <c r="BD237" s="2"/>
      <c r="BE237" s="2"/>
      <c r="BF237" s="2"/>
      <c r="BG237" s="2"/>
      <c r="BH237" s="2"/>
      <c r="BI237" s="2"/>
      <c r="BJ237" s="2"/>
      <c r="BK237" s="2"/>
      <c r="BL237" s="2"/>
    </row>
    <row r="238" ht="18.75" hidden="1" customHeight="1">
      <c r="A238" s="2"/>
      <c r="B238" s="268" t="str">
        <f t="shared" si="74"/>
        <v>Alchemical Hydra - Jar of Chemicals</v>
      </c>
      <c r="C238" s="269"/>
      <c r="D238" s="269"/>
      <c r="E238" s="269"/>
      <c r="F238" s="269"/>
      <c r="G238" s="270"/>
      <c r="H238" s="271" t="s">
        <v>603</v>
      </c>
      <c r="I238" s="269"/>
      <c r="J238" s="270"/>
      <c r="K238" s="272">
        <f t="shared" si="4"/>
        <v>20</v>
      </c>
      <c r="L238" s="271">
        <f t="shared" si="75"/>
        <v>6</v>
      </c>
      <c r="M238" s="269"/>
      <c r="N238" s="270"/>
      <c r="O238" s="273">
        <f t="shared" si="76"/>
        <v>3</v>
      </c>
      <c r="P238" s="269"/>
      <c r="Q238" s="270"/>
      <c r="R238" s="274">
        <f t="shared" si="7"/>
        <v>10</v>
      </c>
      <c r="S238" s="269"/>
      <c r="T238" s="275"/>
      <c r="U238" s="2"/>
      <c r="V238" s="2"/>
      <c r="W238" s="285" t="s">
        <v>785</v>
      </c>
      <c r="X238" s="269"/>
      <c r="Y238" s="269"/>
      <c r="Z238" s="269"/>
      <c r="AA238" s="269"/>
      <c r="AB238" s="281"/>
      <c r="AC238" s="280">
        <v>1598040.0</v>
      </c>
      <c r="AD238" s="269"/>
      <c r="AE238" s="269"/>
      <c r="AF238" s="281"/>
      <c r="AG238" s="289" t="s">
        <v>786</v>
      </c>
      <c r="AH238" s="287"/>
      <c r="AI238" s="287"/>
      <c r="AJ238" s="287"/>
      <c r="AK238" s="287"/>
      <c r="AL238" s="287"/>
      <c r="AM238" s="287"/>
      <c r="AN238" s="287"/>
      <c r="AO238" s="287"/>
      <c r="AP238" s="287"/>
      <c r="AQ238" s="288"/>
      <c r="AR238" s="2"/>
      <c r="AS238" s="2"/>
      <c r="AT238" s="2"/>
      <c r="AU238" s="2"/>
      <c r="AV238" s="2"/>
      <c r="AW238" s="2"/>
      <c r="AX238" s="2"/>
      <c r="AY238" s="2"/>
      <c r="AZ238" s="2"/>
      <c r="BA238" s="2"/>
      <c r="BB238" s="2"/>
      <c r="BC238" s="2"/>
      <c r="BD238" s="2"/>
      <c r="BE238" s="2"/>
      <c r="BF238" s="2"/>
      <c r="BG238" s="2"/>
      <c r="BH238" s="2"/>
      <c r="BI238" s="2"/>
      <c r="BJ238" s="2"/>
      <c r="BK238" s="2"/>
      <c r="BL238" s="2"/>
    </row>
    <row r="239" ht="18.75" hidden="1" customHeight="1">
      <c r="A239" s="2"/>
      <c r="B239" s="268" t="str">
        <f t="shared" si="74"/>
        <v>Alchemical Hydra - Ikkle Hydra</v>
      </c>
      <c r="C239" s="269"/>
      <c r="D239" s="269"/>
      <c r="E239" s="269"/>
      <c r="F239" s="269"/>
      <c r="G239" s="270"/>
      <c r="H239" s="271" t="s">
        <v>603</v>
      </c>
      <c r="I239" s="269"/>
      <c r="J239" s="270"/>
      <c r="K239" s="272">
        <f t="shared" si="4"/>
        <v>20</v>
      </c>
      <c r="L239" s="271">
        <f t="shared" si="75"/>
        <v>6</v>
      </c>
      <c r="M239" s="269"/>
      <c r="N239" s="270"/>
      <c r="O239" s="273">
        <f t="shared" si="76"/>
        <v>3</v>
      </c>
      <c r="P239" s="269"/>
      <c r="Q239" s="270"/>
      <c r="R239" s="274">
        <f t="shared" si="7"/>
        <v>10</v>
      </c>
      <c r="S239" s="269"/>
      <c r="T239" s="275"/>
      <c r="U239" s="2"/>
      <c r="V239" s="2"/>
      <c r="W239" s="285" t="s">
        <v>787</v>
      </c>
      <c r="X239" s="269"/>
      <c r="Y239" s="269"/>
      <c r="Z239" s="269"/>
      <c r="AA239" s="269"/>
      <c r="AB239" s="281"/>
      <c r="AC239" s="280">
        <v>1434680.0</v>
      </c>
      <c r="AD239" s="269"/>
      <c r="AE239" s="269"/>
      <c r="AF239" s="281"/>
      <c r="AG239" s="289" t="s">
        <v>788</v>
      </c>
      <c r="AH239" s="287"/>
      <c r="AI239" s="287"/>
      <c r="AJ239" s="287"/>
      <c r="AK239" s="287"/>
      <c r="AL239" s="287"/>
      <c r="AM239" s="287"/>
      <c r="AN239" s="287"/>
      <c r="AO239" s="287"/>
      <c r="AP239" s="287"/>
      <c r="AQ239" s="288"/>
      <c r="AR239" s="2"/>
      <c r="AS239" s="2"/>
      <c r="AT239" s="2"/>
      <c r="AU239" s="2"/>
      <c r="AV239" s="2"/>
      <c r="AW239" s="2"/>
      <c r="AX239" s="2"/>
      <c r="AY239" s="2"/>
      <c r="AZ239" s="2"/>
      <c r="BA239" s="2"/>
      <c r="BB239" s="2"/>
      <c r="BC239" s="2"/>
      <c r="BD239" s="2"/>
      <c r="BE239" s="2"/>
      <c r="BF239" s="2"/>
      <c r="BG239" s="2"/>
      <c r="BH239" s="2"/>
      <c r="BI239" s="2"/>
      <c r="BJ239" s="2"/>
      <c r="BK239" s="2"/>
      <c r="BL239" s="2"/>
    </row>
    <row r="240" ht="18.75" hidden="1" customHeight="1">
      <c r="A240" s="2"/>
      <c r="B240" s="268" t="str">
        <f t="shared" ref="B240:B243" si="77">$M$33 &amp; " - " &amp; M35</f>
        <v>Zalcano - Crystal Tool Seed</v>
      </c>
      <c r="C240" s="269"/>
      <c r="D240" s="269"/>
      <c r="E240" s="269"/>
      <c r="F240" s="269"/>
      <c r="G240" s="270"/>
      <c r="H240" s="271" t="s">
        <v>589</v>
      </c>
      <c r="I240" s="269"/>
      <c r="J240" s="270"/>
      <c r="K240" s="272">
        <f t="shared" si="4"/>
        <v>10</v>
      </c>
      <c r="L240" s="271">
        <f t="shared" ref="L240:L243" si="78">$V$33</f>
        <v>1</v>
      </c>
      <c r="M240" s="269"/>
      <c r="N240" s="270"/>
      <c r="O240" s="273">
        <f t="shared" ref="O240:O243" si="79">U35</f>
        <v>1</v>
      </c>
      <c r="P240" s="269"/>
      <c r="Q240" s="270"/>
      <c r="R240" s="274">
        <f t="shared" si="7"/>
        <v>10</v>
      </c>
      <c r="S240" s="269"/>
      <c r="T240" s="275"/>
      <c r="U240" s="2"/>
      <c r="V240" s="2"/>
      <c r="W240" s="285" t="s">
        <v>789</v>
      </c>
      <c r="X240" s="269"/>
      <c r="Y240" s="269"/>
      <c r="Z240" s="269"/>
      <c r="AA240" s="269"/>
      <c r="AB240" s="281"/>
      <c r="AC240" s="280">
        <v>814377.0</v>
      </c>
      <c r="AD240" s="269"/>
      <c r="AE240" s="269"/>
      <c r="AF240" s="281"/>
      <c r="AG240" s="289" t="s">
        <v>790</v>
      </c>
      <c r="AH240" s="287"/>
      <c r="AI240" s="287"/>
      <c r="AJ240" s="287"/>
      <c r="AK240" s="287"/>
      <c r="AL240" s="287"/>
      <c r="AM240" s="287"/>
      <c r="AN240" s="287"/>
      <c r="AO240" s="287"/>
      <c r="AP240" s="287"/>
      <c r="AQ240" s="288"/>
      <c r="AR240" s="2"/>
      <c r="AS240" s="2"/>
      <c r="AT240" s="2"/>
      <c r="AU240" s="2"/>
      <c r="AV240" s="2"/>
      <c r="AW240" s="2"/>
      <c r="AX240" s="2"/>
      <c r="AY240" s="2"/>
      <c r="AZ240" s="2"/>
      <c r="BA240" s="2"/>
      <c r="BB240" s="2"/>
      <c r="BC240" s="2"/>
      <c r="BD240" s="2"/>
      <c r="BE240" s="2"/>
      <c r="BF240" s="2"/>
      <c r="BG240" s="2"/>
      <c r="BH240" s="2"/>
      <c r="BI240" s="2"/>
      <c r="BJ240" s="2"/>
      <c r="BK240" s="2"/>
      <c r="BL240" s="2"/>
    </row>
    <row r="241" ht="18.75" hidden="1" customHeight="1">
      <c r="A241" s="2"/>
      <c r="B241" s="268" t="str">
        <f t="shared" si="77"/>
        <v>Zalcano - Zalcano Shard</v>
      </c>
      <c r="C241" s="269"/>
      <c r="D241" s="269"/>
      <c r="E241" s="269"/>
      <c r="F241" s="269"/>
      <c r="G241" s="270"/>
      <c r="H241" s="271" t="s">
        <v>589</v>
      </c>
      <c r="I241" s="269"/>
      <c r="J241" s="270"/>
      <c r="K241" s="272">
        <f t="shared" si="4"/>
        <v>10</v>
      </c>
      <c r="L241" s="271">
        <f t="shared" si="78"/>
        <v>1</v>
      </c>
      <c r="M241" s="269"/>
      <c r="N241" s="270"/>
      <c r="O241" s="273">
        <f t="shared" si="79"/>
        <v>1</v>
      </c>
      <c r="P241" s="269"/>
      <c r="Q241" s="270"/>
      <c r="R241" s="274">
        <f t="shared" si="7"/>
        <v>10</v>
      </c>
      <c r="S241" s="269"/>
      <c r="T241" s="275"/>
      <c r="U241" s="2"/>
      <c r="V241" s="2"/>
      <c r="W241" s="285" t="s">
        <v>791</v>
      </c>
      <c r="X241" s="269"/>
      <c r="Y241" s="269"/>
      <c r="Z241" s="269"/>
      <c r="AA241" s="269"/>
      <c r="AB241" s="281"/>
      <c r="AC241" s="280">
        <v>805432.0</v>
      </c>
      <c r="AD241" s="269"/>
      <c r="AE241" s="269"/>
      <c r="AF241" s="281"/>
      <c r="AG241" s="289" t="s">
        <v>792</v>
      </c>
      <c r="AH241" s="287"/>
      <c r="AI241" s="287"/>
      <c r="AJ241" s="287"/>
      <c r="AK241" s="287"/>
      <c r="AL241" s="287"/>
      <c r="AM241" s="287"/>
      <c r="AN241" s="287"/>
      <c r="AO241" s="287"/>
      <c r="AP241" s="287"/>
      <c r="AQ241" s="288"/>
      <c r="AR241" s="2"/>
      <c r="AS241" s="2"/>
      <c r="AT241" s="2"/>
      <c r="AU241" s="2"/>
      <c r="AV241" s="2"/>
      <c r="AW241" s="2"/>
      <c r="AX241" s="2"/>
      <c r="AY241" s="2"/>
      <c r="AZ241" s="2"/>
      <c r="BA241" s="2"/>
      <c r="BB241" s="2"/>
      <c r="BC241" s="2"/>
      <c r="BD241" s="2"/>
      <c r="BE241" s="2"/>
      <c r="BF241" s="2"/>
      <c r="BG241" s="2"/>
      <c r="BH241" s="2"/>
      <c r="BI241" s="2"/>
      <c r="BJ241" s="2"/>
      <c r="BK241" s="2"/>
      <c r="BL241" s="2"/>
    </row>
    <row r="242" ht="18.75" hidden="1" customHeight="1">
      <c r="A242" s="2"/>
      <c r="B242" s="268" t="str">
        <f t="shared" si="77"/>
        <v>Zalcano - Uncut Onyx</v>
      </c>
      <c r="C242" s="269"/>
      <c r="D242" s="269"/>
      <c r="E242" s="269"/>
      <c r="F242" s="269"/>
      <c r="G242" s="270"/>
      <c r="H242" s="271" t="s">
        <v>589</v>
      </c>
      <c r="I242" s="269"/>
      <c r="J242" s="270"/>
      <c r="K242" s="272">
        <f t="shared" si="4"/>
        <v>10</v>
      </c>
      <c r="L242" s="271">
        <f t="shared" si="78"/>
        <v>1</v>
      </c>
      <c r="M242" s="269"/>
      <c r="N242" s="270"/>
      <c r="O242" s="273">
        <f t="shared" si="79"/>
        <v>1</v>
      </c>
      <c r="P242" s="269"/>
      <c r="Q242" s="270"/>
      <c r="R242" s="274">
        <f t="shared" si="7"/>
        <v>10</v>
      </c>
      <c r="S242" s="269"/>
      <c r="T242" s="275"/>
      <c r="U242" s="2"/>
      <c r="V242" s="2"/>
      <c r="W242" s="285" t="s">
        <v>793</v>
      </c>
      <c r="X242" s="269"/>
      <c r="Y242" s="269"/>
      <c r="Z242" s="269"/>
      <c r="AA242" s="269"/>
      <c r="AB242" s="281"/>
      <c r="AC242" s="280">
        <v>705782.0</v>
      </c>
      <c r="AD242" s="269"/>
      <c r="AE242" s="269"/>
      <c r="AF242" s="281"/>
      <c r="AG242" s="289" t="s">
        <v>794</v>
      </c>
      <c r="AH242" s="287"/>
      <c r="AI242" s="287"/>
      <c r="AJ242" s="287"/>
      <c r="AK242" s="287"/>
      <c r="AL242" s="287"/>
      <c r="AM242" s="287"/>
      <c r="AN242" s="287"/>
      <c r="AO242" s="287"/>
      <c r="AP242" s="287"/>
      <c r="AQ242" s="288"/>
      <c r="AR242" s="2"/>
      <c r="AS242" s="2"/>
      <c r="AT242" s="2"/>
      <c r="AU242" s="2"/>
      <c r="AV242" s="2"/>
      <c r="AW242" s="2"/>
      <c r="AX242" s="2"/>
      <c r="AY242" s="2"/>
      <c r="AZ242" s="2"/>
      <c r="BA242" s="2"/>
      <c r="BB242" s="2"/>
      <c r="BC242" s="2"/>
      <c r="BD242" s="2"/>
      <c r="BE242" s="2"/>
      <c r="BF242" s="2"/>
      <c r="BG242" s="2"/>
      <c r="BH242" s="2"/>
      <c r="BI242" s="2"/>
      <c r="BJ242" s="2"/>
      <c r="BK242" s="2"/>
      <c r="BL242" s="2"/>
    </row>
    <row r="243" ht="18.75" hidden="1" customHeight="1">
      <c r="A243" s="2"/>
      <c r="B243" s="268" t="str">
        <f t="shared" si="77"/>
        <v>Zalcano - Smolcano</v>
      </c>
      <c r="C243" s="269"/>
      <c r="D243" s="269"/>
      <c r="E243" s="269"/>
      <c r="F243" s="269"/>
      <c r="G243" s="270"/>
      <c r="H243" s="271" t="s">
        <v>589</v>
      </c>
      <c r="I243" s="269"/>
      <c r="J243" s="270"/>
      <c r="K243" s="272">
        <f t="shared" si="4"/>
        <v>10</v>
      </c>
      <c r="L243" s="271">
        <f t="shared" si="78"/>
        <v>1</v>
      </c>
      <c r="M243" s="269"/>
      <c r="N243" s="270"/>
      <c r="O243" s="273">
        <f t="shared" si="79"/>
        <v>1</v>
      </c>
      <c r="P243" s="269"/>
      <c r="Q243" s="270"/>
      <c r="R243" s="274">
        <f t="shared" si="7"/>
        <v>10</v>
      </c>
      <c r="S243" s="269"/>
      <c r="T243" s="275"/>
      <c r="U243" s="2"/>
      <c r="V243" s="2"/>
      <c r="W243" s="285" t="s">
        <v>795</v>
      </c>
      <c r="X243" s="269"/>
      <c r="Y243" s="269"/>
      <c r="Z243" s="269"/>
      <c r="AA243" s="269"/>
      <c r="AB243" s="281"/>
      <c r="AC243" s="280">
        <v>698588.0</v>
      </c>
      <c r="AD243" s="269"/>
      <c r="AE243" s="269"/>
      <c r="AF243" s="281"/>
      <c r="AG243" s="289" t="s">
        <v>796</v>
      </c>
      <c r="AH243" s="287"/>
      <c r="AI243" s="287"/>
      <c r="AJ243" s="287"/>
      <c r="AK243" s="287"/>
      <c r="AL243" s="287"/>
      <c r="AM243" s="287"/>
      <c r="AN243" s="287"/>
      <c r="AO243" s="287"/>
      <c r="AP243" s="287"/>
      <c r="AQ243" s="288"/>
      <c r="AR243" s="2"/>
      <c r="AS243" s="2"/>
      <c r="AT243" s="2"/>
      <c r="AU243" s="2"/>
      <c r="AV243" s="2"/>
      <c r="AW243" s="2"/>
      <c r="AX243" s="2"/>
      <c r="AY243" s="2"/>
      <c r="AZ243" s="2"/>
      <c r="BA243" s="2"/>
      <c r="BB243" s="2"/>
      <c r="BC243" s="2"/>
      <c r="BD243" s="2"/>
      <c r="BE243" s="2"/>
      <c r="BF243" s="2"/>
      <c r="BG243" s="2"/>
      <c r="BH243" s="2"/>
      <c r="BI243" s="2"/>
      <c r="BJ243" s="2"/>
      <c r="BK243" s="2"/>
      <c r="BL243" s="2"/>
    </row>
    <row r="244" ht="18.75" hidden="1" customHeight="1">
      <c r="A244" s="2"/>
      <c r="B244" s="268" t="str">
        <f t="shared" ref="B244:B245" si="80">$W$42 &amp; " - " &amp; W44</f>
        <v>Scurrius - Scurrius' Spine</v>
      </c>
      <c r="C244" s="269"/>
      <c r="D244" s="269"/>
      <c r="E244" s="269"/>
      <c r="F244" s="269"/>
      <c r="G244" s="270"/>
      <c r="H244" s="271" t="s">
        <v>578</v>
      </c>
      <c r="I244" s="269"/>
      <c r="J244" s="270"/>
      <c r="K244" s="272">
        <f t="shared" si="4"/>
        <v>5</v>
      </c>
      <c r="L244" s="271">
        <f t="shared" ref="L244:L245" si="81">$AF$42</f>
        <v>10</v>
      </c>
      <c r="M244" s="269"/>
      <c r="N244" s="270"/>
      <c r="O244" s="273">
        <f t="shared" ref="O244:O245" si="82">AE44</f>
        <v>1</v>
      </c>
      <c r="P244" s="269"/>
      <c r="Q244" s="270"/>
      <c r="R244" s="274">
        <f t="shared" si="7"/>
        <v>0.5</v>
      </c>
      <c r="S244" s="269"/>
      <c r="T244" s="275"/>
      <c r="U244" s="2"/>
      <c r="V244" s="2"/>
      <c r="W244" s="285" t="s">
        <v>797</v>
      </c>
      <c r="X244" s="269"/>
      <c r="Y244" s="269"/>
      <c r="Z244" s="269"/>
      <c r="AA244" s="269"/>
      <c r="AB244" s="281"/>
      <c r="AC244" s="280">
        <v>331008.0</v>
      </c>
      <c r="AD244" s="269"/>
      <c r="AE244" s="269"/>
      <c r="AF244" s="281"/>
      <c r="AG244" s="289" t="s">
        <v>798</v>
      </c>
      <c r="AH244" s="287"/>
      <c r="AI244" s="287"/>
      <c r="AJ244" s="287"/>
      <c r="AK244" s="287"/>
      <c r="AL244" s="287"/>
      <c r="AM244" s="287"/>
      <c r="AN244" s="287"/>
      <c r="AO244" s="287"/>
      <c r="AP244" s="287"/>
      <c r="AQ244" s="288"/>
      <c r="AR244" s="2"/>
      <c r="AS244" s="2"/>
      <c r="AT244" s="2"/>
      <c r="AU244" s="2"/>
      <c r="AV244" s="2"/>
      <c r="AW244" s="2"/>
      <c r="AX244" s="2"/>
      <c r="AY244" s="2"/>
      <c r="AZ244" s="2"/>
      <c r="BA244" s="2"/>
      <c r="BB244" s="2"/>
      <c r="BC244" s="2"/>
      <c r="BD244" s="2"/>
      <c r="BE244" s="2"/>
      <c r="BF244" s="2"/>
      <c r="BG244" s="2"/>
      <c r="BH244" s="2"/>
      <c r="BI244" s="2"/>
      <c r="BJ244" s="2"/>
      <c r="BK244" s="2"/>
      <c r="BL244" s="2"/>
    </row>
    <row r="245" ht="18.75" hidden="1" customHeight="1">
      <c r="A245" s="2"/>
      <c r="B245" s="268" t="str">
        <f t="shared" si="80"/>
        <v>Scurrius - Scurry</v>
      </c>
      <c r="C245" s="269"/>
      <c r="D245" s="269"/>
      <c r="E245" s="269"/>
      <c r="F245" s="269"/>
      <c r="G245" s="270"/>
      <c r="H245" s="271" t="s">
        <v>578</v>
      </c>
      <c r="I245" s="269"/>
      <c r="J245" s="270"/>
      <c r="K245" s="272">
        <f t="shared" si="4"/>
        <v>5</v>
      </c>
      <c r="L245" s="271">
        <f t="shared" si="81"/>
        <v>10</v>
      </c>
      <c r="M245" s="269"/>
      <c r="N245" s="270"/>
      <c r="O245" s="273">
        <f t="shared" si="82"/>
        <v>3</v>
      </c>
      <c r="P245" s="269"/>
      <c r="Q245" s="270"/>
      <c r="R245" s="274">
        <f t="shared" si="7"/>
        <v>1.5</v>
      </c>
      <c r="S245" s="269"/>
      <c r="T245" s="275"/>
      <c r="U245" s="2"/>
      <c r="V245" s="2"/>
      <c r="W245" s="285" t="s">
        <v>427</v>
      </c>
      <c r="X245" s="269"/>
      <c r="Y245" s="269"/>
      <c r="Z245" s="269"/>
      <c r="AA245" s="269"/>
      <c r="AB245" s="281"/>
      <c r="AC245" s="280">
        <v>7.3368551E7</v>
      </c>
      <c r="AD245" s="269"/>
      <c r="AE245" s="269"/>
      <c r="AF245" s="281"/>
      <c r="AG245" s="289" t="s">
        <v>799</v>
      </c>
      <c r="AH245" s="287"/>
      <c r="AI245" s="287"/>
      <c r="AJ245" s="287"/>
      <c r="AK245" s="287"/>
      <c r="AL245" s="287"/>
      <c r="AM245" s="287"/>
      <c r="AN245" s="287"/>
      <c r="AO245" s="287"/>
      <c r="AP245" s="287"/>
      <c r="AQ245" s="288"/>
      <c r="AR245" s="2"/>
      <c r="AS245" s="2"/>
      <c r="AT245" s="2"/>
      <c r="AU245" s="2"/>
      <c r="AV245" s="2"/>
      <c r="AW245" s="2"/>
      <c r="AX245" s="2"/>
      <c r="AY245" s="2"/>
      <c r="AZ245" s="2"/>
      <c r="BA245" s="2"/>
      <c r="BB245" s="2"/>
      <c r="BC245" s="2"/>
      <c r="BD245" s="2"/>
      <c r="BE245" s="2"/>
      <c r="BF245" s="2"/>
      <c r="BG245" s="2"/>
      <c r="BH245" s="2"/>
      <c r="BI245" s="2"/>
      <c r="BJ245" s="2"/>
      <c r="BK245" s="2"/>
      <c r="BL245" s="2"/>
    </row>
    <row r="246" ht="18.75" hidden="1" customHeight="1">
      <c r="A246" s="2"/>
      <c r="B246" s="268" t="str">
        <f t="shared" ref="B246:B249" si="83">$AG$35 &amp; " - " &amp; AG37</f>
        <v>Gauntlet - Crystal Weapon Seed</v>
      </c>
      <c r="C246" s="269"/>
      <c r="D246" s="269"/>
      <c r="E246" s="269"/>
      <c r="F246" s="269"/>
      <c r="G246" s="270"/>
      <c r="H246" s="271" t="s">
        <v>589</v>
      </c>
      <c r="I246" s="269"/>
      <c r="J246" s="270"/>
      <c r="K246" s="272">
        <f t="shared" si="4"/>
        <v>10</v>
      </c>
      <c r="L246" s="271">
        <f t="shared" ref="L246:L249" si="84">$AP$35</f>
        <v>6</v>
      </c>
      <c r="M246" s="269"/>
      <c r="N246" s="270"/>
      <c r="O246" s="273">
        <f t="shared" ref="O246:O249" si="85">AO37</f>
        <v>1</v>
      </c>
      <c r="P246" s="269"/>
      <c r="Q246" s="270"/>
      <c r="R246" s="274">
        <f t="shared" si="7"/>
        <v>1.666666667</v>
      </c>
      <c r="S246" s="269"/>
      <c r="T246" s="275"/>
      <c r="U246" s="2"/>
      <c r="V246" s="2"/>
      <c r="W246" s="285" t="s">
        <v>306</v>
      </c>
      <c r="X246" s="269"/>
      <c r="Y246" s="269"/>
      <c r="Z246" s="269"/>
      <c r="AA246" s="269"/>
      <c r="AB246" s="281"/>
      <c r="AC246" s="280">
        <v>1.3031319E7</v>
      </c>
      <c r="AD246" s="269"/>
      <c r="AE246" s="269"/>
      <c r="AF246" s="281"/>
      <c r="AG246" s="289" t="s">
        <v>216</v>
      </c>
      <c r="AH246" s="287"/>
      <c r="AI246" s="287"/>
      <c r="AJ246" s="287"/>
      <c r="AK246" s="287"/>
      <c r="AL246" s="287"/>
      <c r="AM246" s="287"/>
      <c r="AN246" s="287"/>
      <c r="AO246" s="287"/>
      <c r="AP246" s="287"/>
      <c r="AQ246" s="288"/>
      <c r="AR246" s="2"/>
      <c r="AS246" s="2"/>
      <c r="AT246" s="2"/>
      <c r="AU246" s="2"/>
      <c r="AV246" s="2"/>
      <c r="AW246" s="2"/>
      <c r="AX246" s="2"/>
      <c r="AY246" s="2"/>
      <c r="AZ246" s="2"/>
      <c r="BA246" s="2"/>
      <c r="BB246" s="2"/>
      <c r="BC246" s="2"/>
      <c r="BD246" s="2"/>
      <c r="BE246" s="2"/>
      <c r="BF246" s="2"/>
      <c r="BG246" s="2"/>
      <c r="BH246" s="2"/>
      <c r="BI246" s="2"/>
      <c r="BJ246" s="2"/>
      <c r="BK246" s="2"/>
      <c r="BL246" s="2"/>
    </row>
    <row r="247" ht="18.75" hidden="1" customHeight="1">
      <c r="A247" s="2"/>
      <c r="B247" s="268" t="str">
        <f t="shared" si="83"/>
        <v>Gauntlet - Crystal Armour Seed</v>
      </c>
      <c r="C247" s="269"/>
      <c r="D247" s="269"/>
      <c r="E247" s="269"/>
      <c r="F247" s="269"/>
      <c r="G247" s="270"/>
      <c r="H247" s="271" t="s">
        <v>589</v>
      </c>
      <c r="I247" s="269"/>
      <c r="J247" s="270"/>
      <c r="K247" s="272">
        <f t="shared" si="4"/>
        <v>10</v>
      </c>
      <c r="L247" s="271">
        <f t="shared" si="84"/>
        <v>6</v>
      </c>
      <c r="M247" s="269"/>
      <c r="N247" s="270"/>
      <c r="O247" s="273">
        <f t="shared" si="85"/>
        <v>1</v>
      </c>
      <c r="P247" s="269"/>
      <c r="Q247" s="270"/>
      <c r="R247" s="274">
        <f t="shared" si="7"/>
        <v>1.666666667</v>
      </c>
      <c r="S247" s="269"/>
      <c r="T247" s="275"/>
      <c r="U247" s="2"/>
      <c r="V247" s="2"/>
      <c r="W247" s="285" t="s">
        <v>430</v>
      </c>
      <c r="X247" s="269"/>
      <c r="Y247" s="269"/>
      <c r="Z247" s="269"/>
      <c r="AA247" s="269"/>
      <c r="AB247" s="281"/>
      <c r="AC247" s="280">
        <v>9752312.0</v>
      </c>
      <c r="AD247" s="269"/>
      <c r="AE247" s="269"/>
      <c r="AF247" s="281"/>
      <c r="AG247" s="289" t="s">
        <v>800</v>
      </c>
      <c r="AH247" s="287"/>
      <c r="AI247" s="287"/>
      <c r="AJ247" s="287"/>
      <c r="AK247" s="287"/>
      <c r="AL247" s="287"/>
      <c r="AM247" s="287"/>
      <c r="AN247" s="287"/>
      <c r="AO247" s="287"/>
      <c r="AP247" s="287"/>
      <c r="AQ247" s="288"/>
      <c r="AR247" s="2"/>
      <c r="AS247" s="2"/>
      <c r="AT247" s="2"/>
      <c r="AU247" s="2"/>
      <c r="AV247" s="2"/>
      <c r="AW247" s="2"/>
      <c r="AX247" s="2"/>
      <c r="AY247" s="2"/>
      <c r="AZ247" s="2"/>
      <c r="BA247" s="2"/>
      <c r="BB247" s="2"/>
      <c r="BC247" s="2"/>
      <c r="BD247" s="2"/>
      <c r="BE247" s="2"/>
      <c r="BF247" s="2"/>
      <c r="BG247" s="2"/>
      <c r="BH247" s="2"/>
      <c r="BI247" s="2"/>
      <c r="BJ247" s="2"/>
      <c r="BK247" s="2"/>
      <c r="BL247" s="2"/>
    </row>
    <row r="248" ht="18.75" hidden="1" customHeight="1">
      <c r="A248" s="2"/>
      <c r="B248" s="268" t="str">
        <f t="shared" si="83"/>
        <v>Gauntlet - Enhanced Crystal Weapon Seed</v>
      </c>
      <c r="C248" s="269"/>
      <c r="D248" s="269"/>
      <c r="E248" s="269"/>
      <c r="F248" s="269"/>
      <c r="G248" s="270"/>
      <c r="H248" s="271" t="s">
        <v>589</v>
      </c>
      <c r="I248" s="269"/>
      <c r="J248" s="270"/>
      <c r="K248" s="272">
        <f t="shared" si="4"/>
        <v>10</v>
      </c>
      <c r="L248" s="271">
        <f t="shared" si="84"/>
        <v>6</v>
      </c>
      <c r="M248" s="269"/>
      <c r="N248" s="270"/>
      <c r="O248" s="273">
        <f t="shared" si="85"/>
        <v>3</v>
      </c>
      <c r="P248" s="269"/>
      <c r="Q248" s="270"/>
      <c r="R248" s="274">
        <f t="shared" si="7"/>
        <v>5</v>
      </c>
      <c r="S248" s="269"/>
      <c r="T248" s="275"/>
      <c r="U248" s="2"/>
      <c r="V248" s="2"/>
      <c r="W248" s="285" t="s">
        <v>51</v>
      </c>
      <c r="X248" s="269"/>
      <c r="Y248" s="269"/>
      <c r="Z248" s="269"/>
      <c r="AA248" s="269"/>
      <c r="AB248" s="281"/>
      <c r="AC248" s="280">
        <v>7376352.0</v>
      </c>
      <c r="AD248" s="269"/>
      <c r="AE248" s="269"/>
      <c r="AF248" s="281"/>
      <c r="AG248" s="289" t="s">
        <v>801</v>
      </c>
      <c r="AH248" s="287"/>
      <c r="AI248" s="287"/>
      <c r="AJ248" s="287"/>
      <c r="AK248" s="287"/>
      <c r="AL248" s="287"/>
      <c r="AM248" s="287"/>
      <c r="AN248" s="287"/>
      <c r="AO248" s="287"/>
      <c r="AP248" s="287"/>
      <c r="AQ248" s="288"/>
      <c r="AR248" s="2"/>
      <c r="AS248" s="2"/>
      <c r="AT248" s="2"/>
      <c r="AU248" s="2"/>
      <c r="AV248" s="2"/>
      <c r="AW248" s="2"/>
      <c r="AX248" s="2"/>
      <c r="AY248" s="2"/>
      <c r="AZ248" s="2"/>
      <c r="BA248" s="2"/>
      <c r="BB248" s="2"/>
      <c r="BC248" s="2"/>
      <c r="BD248" s="2"/>
      <c r="BE248" s="2"/>
      <c r="BF248" s="2"/>
      <c r="BG248" s="2"/>
      <c r="BH248" s="2"/>
      <c r="BI248" s="2"/>
      <c r="BJ248" s="2"/>
      <c r="BK248" s="2"/>
      <c r="BL248" s="2"/>
    </row>
    <row r="249" ht="18.75" hidden="1" customHeight="1">
      <c r="A249" s="2"/>
      <c r="B249" s="268" t="str">
        <f t="shared" si="83"/>
        <v>Gauntlet - Youngllef</v>
      </c>
      <c r="C249" s="269"/>
      <c r="D249" s="269"/>
      <c r="E249" s="269"/>
      <c r="F249" s="269"/>
      <c r="G249" s="270"/>
      <c r="H249" s="271" t="s">
        <v>589</v>
      </c>
      <c r="I249" s="269"/>
      <c r="J249" s="270"/>
      <c r="K249" s="272">
        <f t="shared" si="4"/>
        <v>10</v>
      </c>
      <c r="L249" s="271">
        <f t="shared" si="84"/>
        <v>6</v>
      </c>
      <c r="M249" s="269"/>
      <c r="N249" s="270"/>
      <c r="O249" s="273">
        <f t="shared" si="85"/>
        <v>3</v>
      </c>
      <c r="P249" s="269"/>
      <c r="Q249" s="270"/>
      <c r="R249" s="274">
        <f t="shared" si="7"/>
        <v>5</v>
      </c>
      <c r="S249" s="269"/>
      <c r="T249" s="275"/>
      <c r="U249" s="2"/>
      <c r="V249" s="2"/>
      <c r="W249" s="285" t="s">
        <v>339</v>
      </c>
      <c r="X249" s="269"/>
      <c r="Y249" s="269"/>
      <c r="Z249" s="269"/>
      <c r="AA249" s="269"/>
      <c r="AB249" s="281"/>
      <c r="AC249" s="280">
        <v>2018102.0</v>
      </c>
      <c r="AD249" s="269"/>
      <c r="AE249" s="269"/>
      <c r="AF249" s="281"/>
      <c r="AG249" s="289" t="s">
        <v>135</v>
      </c>
      <c r="AH249" s="287"/>
      <c r="AI249" s="287"/>
      <c r="AJ249" s="287"/>
      <c r="AK249" s="287"/>
      <c r="AL249" s="287"/>
      <c r="AM249" s="287"/>
      <c r="AN249" s="287"/>
      <c r="AO249" s="287"/>
      <c r="AP249" s="287"/>
      <c r="AQ249" s="288"/>
      <c r="AR249" s="2"/>
      <c r="AS249" s="2"/>
      <c r="AT249" s="2"/>
      <c r="AU249" s="2"/>
      <c r="AV249" s="2"/>
      <c r="AW249" s="2"/>
      <c r="AX249" s="2"/>
      <c r="AY249" s="2"/>
      <c r="AZ249" s="2"/>
      <c r="BA249" s="2"/>
      <c r="BB249" s="2"/>
      <c r="BC249" s="2"/>
      <c r="BD249" s="2"/>
      <c r="BE249" s="2"/>
      <c r="BF249" s="2"/>
      <c r="BG249" s="2"/>
      <c r="BH249" s="2"/>
      <c r="BI249" s="2"/>
      <c r="BJ249" s="2"/>
      <c r="BK249" s="2"/>
      <c r="BL249" s="2"/>
    </row>
    <row r="250" ht="18.75" hidden="1" customHeight="1">
      <c r="A250" s="2"/>
      <c r="B250" s="268" t="str">
        <f t="shared" ref="B250:B252" si="86">$AQ$52 &amp; " - " &amp; AQ54</f>
        <v>Skilling Tools - Jeweller's Chisel</v>
      </c>
      <c r="C250" s="269"/>
      <c r="D250" s="269"/>
      <c r="E250" s="269"/>
      <c r="F250" s="269"/>
      <c r="G250" s="270"/>
      <c r="H250" s="271" t="s">
        <v>578</v>
      </c>
      <c r="I250" s="269"/>
      <c r="J250" s="270"/>
      <c r="K250" s="272">
        <f t="shared" si="4"/>
        <v>5</v>
      </c>
      <c r="L250" s="271">
        <f t="shared" ref="L250:L252" si="87">$AZ$52</f>
        <v>10</v>
      </c>
      <c r="M250" s="269"/>
      <c r="N250" s="270"/>
      <c r="O250" s="273">
        <f t="shared" ref="O250:O252" si="88">AY54</f>
        <v>4</v>
      </c>
      <c r="P250" s="269"/>
      <c r="Q250" s="270"/>
      <c r="R250" s="274">
        <f t="shared" si="7"/>
        <v>2</v>
      </c>
      <c r="S250" s="269"/>
      <c r="T250" s="275"/>
      <c r="U250" s="2"/>
      <c r="V250" s="2"/>
      <c r="W250" s="285" t="s">
        <v>367</v>
      </c>
      <c r="X250" s="269"/>
      <c r="Y250" s="269"/>
      <c r="Z250" s="269"/>
      <c r="AA250" s="269"/>
      <c r="AB250" s="281"/>
      <c r="AC250" s="280">
        <v>1679258.0</v>
      </c>
      <c r="AD250" s="269"/>
      <c r="AE250" s="269"/>
      <c r="AF250" s="281"/>
      <c r="AG250" s="289" t="s">
        <v>802</v>
      </c>
      <c r="AH250" s="287"/>
      <c r="AI250" s="287"/>
      <c r="AJ250" s="287"/>
      <c r="AK250" s="287"/>
      <c r="AL250" s="287"/>
      <c r="AM250" s="287"/>
      <c r="AN250" s="287"/>
      <c r="AO250" s="287"/>
      <c r="AP250" s="287"/>
      <c r="AQ250" s="288"/>
      <c r="AR250" s="2"/>
      <c r="AS250" s="2"/>
      <c r="AT250" s="2"/>
      <c r="AU250" s="2"/>
      <c r="AV250" s="2"/>
      <c r="AW250" s="2"/>
      <c r="AX250" s="2"/>
      <c r="AY250" s="2"/>
      <c r="AZ250" s="2"/>
      <c r="BA250" s="2"/>
      <c r="BB250" s="2"/>
      <c r="BC250" s="2"/>
      <c r="BD250" s="2"/>
      <c r="BE250" s="2"/>
      <c r="BF250" s="2"/>
      <c r="BG250" s="2"/>
      <c r="BH250" s="2"/>
      <c r="BI250" s="2"/>
      <c r="BJ250" s="2"/>
      <c r="BK250" s="2"/>
      <c r="BL250" s="2"/>
    </row>
    <row r="251" ht="18.75" hidden="1" customHeight="1">
      <c r="A251" s="2"/>
      <c r="B251" s="268" t="str">
        <f t="shared" si="86"/>
        <v>Skilling Tools - Imcando Hammer</v>
      </c>
      <c r="C251" s="269"/>
      <c r="D251" s="269"/>
      <c r="E251" s="269"/>
      <c r="F251" s="269"/>
      <c r="G251" s="270"/>
      <c r="H251" s="271" t="s">
        <v>578</v>
      </c>
      <c r="I251" s="269"/>
      <c r="J251" s="270"/>
      <c r="K251" s="272">
        <f t="shared" si="4"/>
        <v>5</v>
      </c>
      <c r="L251" s="271">
        <f t="shared" si="87"/>
        <v>10</v>
      </c>
      <c r="M251" s="269"/>
      <c r="N251" s="270"/>
      <c r="O251" s="273">
        <f t="shared" si="88"/>
        <v>2</v>
      </c>
      <c r="P251" s="269"/>
      <c r="Q251" s="270"/>
      <c r="R251" s="274">
        <f t="shared" si="7"/>
        <v>1</v>
      </c>
      <c r="S251" s="269"/>
      <c r="T251" s="275"/>
      <c r="U251" s="2"/>
      <c r="V251" s="2"/>
      <c r="W251" s="285" t="s">
        <v>342</v>
      </c>
      <c r="X251" s="269"/>
      <c r="Y251" s="269"/>
      <c r="Z251" s="269"/>
      <c r="AA251" s="269"/>
      <c r="AB251" s="281"/>
      <c r="AC251" s="280">
        <v>864868.0</v>
      </c>
      <c r="AD251" s="269"/>
      <c r="AE251" s="269"/>
      <c r="AF251" s="281"/>
      <c r="AG251" s="289" t="s">
        <v>803</v>
      </c>
      <c r="AH251" s="287"/>
      <c r="AI251" s="287"/>
      <c r="AJ251" s="287"/>
      <c r="AK251" s="287"/>
      <c r="AL251" s="287"/>
      <c r="AM251" s="287"/>
      <c r="AN251" s="287"/>
      <c r="AO251" s="287"/>
      <c r="AP251" s="287"/>
      <c r="AQ251" s="288"/>
      <c r="AR251" s="2"/>
      <c r="AS251" s="2"/>
      <c r="AT251" s="2"/>
      <c r="AU251" s="2"/>
      <c r="AV251" s="2"/>
      <c r="AW251" s="2"/>
      <c r="AX251" s="2"/>
      <c r="AY251" s="2"/>
      <c r="AZ251" s="2"/>
      <c r="BA251" s="2"/>
      <c r="BB251" s="2"/>
      <c r="BC251" s="2"/>
      <c r="BD251" s="2"/>
      <c r="BE251" s="2"/>
      <c r="BF251" s="2"/>
      <c r="BG251" s="2"/>
      <c r="BH251" s="2"/>
      <c r="BI251" s="2"/>
      <c r="BJ251" s="2"/>
      <c r="BK251" s="2"/>
      <c r="BL251" s="2"/>
    </row>
    <row r="252" ht="18.75" hidden="1" customHeight="1">
      <c r="A252" s="2"/>
      <c r="B252" s="268" t="str">
        <f t="shared" si="86"/>
        <v>Skilling Tools - Fletching Knife</v>
      </c>
      <c r="C252" s="269"/>
      <c r="D252" s="269"/>
      <c r="E252" s="269"/>
      <c r="F252" s="269"/>
      <c r="G252" s="270"/>
      <c r="H252" s="271" t="s">
        <v>578</v>
      </c>
      <c r="I252" s="269"/>
      <c r="J252" s="270"/>
      <c r="K252" s="272">
        <f t="shared" si="4"/>
        <v>5</v>
      </c>
      <c r="L252" s="271">
        <f t="shared" si="87"/>
        <v>10</v>
      </c>
      <c r="M252" s="269"/>
      <c r="N252" s="270"/>
      <c r="O252" s="273">
        <f t="shared" si="88"/>
        <v>1</v>
      </c>
      <c r="P252" s="269"/>
      <c r="Q252" s="270"/>
      <c r="R252" s="274">
        <f t="shared" si="7"/>
        <v>0.5</v>
      </c>
      <c r="S252" s="269"/>
      <c r="T252" s="275"/>
      <c r="U252" s="2"/>
      <c r="V252" s="2"/>
      <c r="W252" s="285" t="s">
        <v>407</v>
      </c>
      <c r="X252" s="269"/>
      <c r="Y252" s="269"/>
      <c r="Z252" s="269"/>
      <c r="AA252" s="269"/>
      <c r="AB252" s="281"/>
      <c r="AC252" s="280">
        <v>801099.0</v>
      </c>
      <c r="AD252" s="269"/>
      <c r="AE252" s="269"/>
      <c r="AF252" s="281"/>
      <c r="AG252" s="289" t="s">
        <v>142</v>
      </c>
      <c r="AH252" s="287"/>
      <c r="AI252" s="287"/>
      <c r="AJ252" s="287"/>
      <c r="AK252" s="287"/>
      <c r="AL252" s="287"/>
      <c r="AM252" s="287"/>
      <c r="AN252" s="287"/>
      <c r="AO252" s="287"/>
      <c r="AP252" s="287"/>
      <c r="AQ252" s="288"/>
      <c r="AR252" s="2"/>
      <c r="AS252" s="2"/>
      <c r="AT252" s="2"/>
      <c r="AU252" s="2"/>
      <c r="AV252" s="2"/>
      <c r="AW252" s="2"/>
      <c r="AX252" s="2"/>
      <c r="AY252" s="2"/>
      <c r="AZ252" s="2"/>
      <c r="BA252" s="2"/>
      <c r="BB252" s="2"/>
      <c r="BC252" s="2"/>
      <c r="BD252" s="2"/>
      <c r="BE252" s="2"/>
      <c r="BF252" s="2"/>
      <c r="BG252" s="2"/>
      <c r="BH252" s="2"/>
      <c r="BI252" s="2"/>
      <c r="BJ252" s="2"/>
      <c r="BK252" s="2"/>
      <c r="BL252" s="2"/>
    </row>
    <row r="253" ht="18.75" hidden="1" customHeight="1">
      <c r="A253" s="2"/>
      <c r="B253" s="268" t="str">
        <f t="shared" ref="B253:B255" si="89">$BA$41 &amp; " - " &amp; BA43</f>
        <v>Maggot King - Elder Venator Fang</v>
      </c>
      <c r="C253" s="269"/>
      <c r="D253" s="269"/>
      <c r="E253" s="269"/>
      <c r="F253" s="269"/>
      <c r="G253" s="270"/>
      <c r="H253" s="271" t="s">
        <v>603</v>
      </c>
      <c r="I253" s="269"/>
      <c r="J253" s="270"/>
      <c r="K253" s="272">
        <f t="shared" si="4"/>
        <v>20</v>
      </c>
      <c r="L253" s="271">
        <f t="shared" ref="L253:L255" si="90">$BJ$41</f>
        <v>2</v>
      </c>
      <c r="M253" s="269"/>
      <c r="N253" s="270"/>
      <c r="O253" s="273">
        <f t="shared" ref="O253:O255" si="91">BI43</f>
        <v>1</v>
      </c>
      <c r="P253" s="269"/>
      <c r="Q253" s="270"/>
      <c r="R253" s="274">
        <f t="shared" si="7"/>
        <v>10</v>
      </c>
      <c r="S253" s="269"/>
      <c r="T253" s="275"/>
      <c r="U253" s="2"/>
      <c r="V253" s="2"/>
      <c r="W253" s="285" t="s">
        <v>401</v>
      </c>
      <c r="X253" s="269"/>
      <c r="Y253" s="269"/>
      <c r="Z253" s="269"/>
      <c r="AA253" s="269"/>
      <c r="AB253" s="281"/>
      <c r="AC253" s="280">
        <v>747218.0</v>
      </c>
      <c r="AD253" s="269"/>
      <c r="AE253" s="269"/>
      <c r="AF253" s="281"/>
      <c r="AG253" s="289" t="s">
        <v>804</v>
      </c>
      <c r="AH253" s="287"/>
      <c r="AI253" s="287"/>
      <c r="AJ253" s="287"/>
      <c r="AK253" s="287"/>
      <c r="AL253" s="287"/>
      <c r="AM253" s="287"/>
      <c r="AN253" s="287"/>
      <c r="AO253" s="287"/>
      <c r="AP253" s="287"/>
      <c r="AQ253" s="288"/>
      <c r="AR253" s="2"/>
      <c r="AS253" s="2"/>
      <c r="AT253" s="2"/>
      <c r="AU253" s="2"/>
      <c r="AV253" s="2"/>
      <c r="AW253" s="2"/>
      <c r="AX253" s="2"/>
      <c r="AY253" s="2"/>
      <c r="AZ253" s="2"/>
      <c r="BA253" s="2"/>
      <c r="BB253" s="2"/>
      <c r="BC253" s="2"/>
      <c r="BD253" s="2"/>
      <c r="BE253" s="2"/>
      <c r="BF253" s="2"/>
      <c r="BG253" s="2"/>
      <c r="BH253" s="2"/>
      <c r="BI253" s="2"/>
      <c r="BJ253" s="2"/>
      <c r="BK253" s="2"/>
      <c r="BL253" s="2"/>
    </row>
    <row r="254" ht="18.75" hidden="1" customHeight="1">
      <c r="A254" s="2"/>
      <c r="B254" s="268" t="str">
        <f t="shared" si="89"/>
        <v>Maggot King - Crimson Kisten</v>
      </c>
      <c r="C254" s="269"/>
      <c r="D254" s="269"/>
      <c r="E254" s="269"/>
      <c r="F254" s="269"/>
      <c r="G254" s="270"/>
      <c r="H254" s="271" t="s">
        <v>603</v>
      </c>
      <c r="I254" s="269"/>
      <c r="J254" s="270"/>
      <c r="K254" s="272">
        <f t="shared" si="4"/>
        <v>20</v>
      </c>
      <c r="L254" s="271">
        <f t="shared" si="90"/>
        <v>2</v>
      </c>
      <c r="M254" s="269"/>
      <c r="N254" s="270"/>
      <c r="O254" s="273">
        <f t="shared" si="91"/>
        <v>1</v>
      </c>
      <c r="P254" s="269"/>
      <c r="Q254" s="270"/>
      <c r="R254" s="274">
        <f t="shared" si="7"/>
        <v>10</v>
      </c>
      <c r="S254" s="269"/>
      <c r="T254" s="275"/>
      <c r="U254" s="2"/>
      <c r="V254" s="2"/>
      <c r="W254" s="285" t="s">
        <v>393</v>
      </c>
      <c r="X254" s="269"/>
      <c r="Y254" s="269"/>
      <c r="Z254" s="269"/>
      <c r="AA254" s="269"/>
      <c r="AB254" s="281"/>
      <c r="AC254" s="280">
        <v>505469.0</v>
      </c>
      <c r="AD254" s="269"/>
      <c r="AE254" s="269"/>
      <c r="AF254" s="281"/>
      <c r="AG254" s="289" t="s">
        <v>805</v>
      </c>
      <c r="AH254" s="287"/>
      <c r="AI254" s="287"/>
      <c r="AJ254" s="287"/>
      <c r="AK254" s="287"/>
      <c r="AL254" s="287"/>
      <c r="AM254" s="287"/>
      <c r="AN254" s="287"/>
      <c r="AO254" s="287"/>
      <c r="AP254" s="287"/>
      <c r="AQ254" s="288"/>
      <c r="AR254" s="2"/>
      <c r="AS254" s="2"/>
      <c r="AT254" s="2"/>
      <c r="AU254" s="2"/>
      <c r="AV254" s="2"/>
      <c r="AW254" s="2"/>
      <c r="AX254" s="2"/>
      <c r="AY254" s="2"/>
      <c r="AZ254" s="2"/>
      <c r="BA254" s="2"/>
      <c r="BB254" s="2"/>
      <c r="BC254" s="2"/>
      <c r="BD254" s="2"/>
      <c r="BE254" s="2"/>
      <c r="BF254" s="2"/>
      <c r="BG254" s="2"/>
      <c r="BH254" s="2"/>
      <c r="BI254" s="2"/>
      <c r="BJ254" s="2"/>
      <c r="BK254" s="2"/>
      <c r="BL254" s="2"/>
    </row>
    <row r="255" ht="18.75" hidden="1" customHeight="1">
      <c r="A255" s="2"/>
      <c r="B255" s="268" t="str">
        <f t="shared" si="89"/>
        <v>Maggot King - Maggot Marquess</v>
      </c>
      <c r="C255" s="269"/>
      <c r="D255" s="269"/>
      <c r="E255" s="269"/>
      <c r="F255" s="269"/>
      <c r="G255" s="270"/>
      <c r="H255" s="271" t="s">
        <v>603</v>
      </c>
      <c r="I255" s="269"/>
      <c r="J255" s="270"/>
      <c r="K255" s="272">
        <f t="shared" si="4"/>
        <v>20</v>
      </c>
      <c r="L255" s="271">
        <f t="shared" si="90"/>
        <v>2</v>
      </c>
      <c r="M255" s="269"/>
      <c r="N255" s="270"/>
      <c r="O255" s="273">
        <f t="shared" si="91"/>
        <v>2</v>
      </c>
      <c r="P255" s="269"/>
      <c r="Q255" s="270"/>
      <c r="R255" s="274">
        <f t="shared" si="7"/>
        <v>20</v>
      </c>
      <c r="S255" s="269"/>
      <c r="T255" s="275"/>
      <c r="U255" s="2"/>
      <c r="V255" s="2"/>
      <c r="W255" s="285" t="s">
        <v>312</v>
      </c>
      <c r="X255" s="269"/>
      <c r="Y255" s="269"/>
      <c r="Z255" s="269"/>
      <c r="AA255" s="269"/>
      <c r="AB255" s="281"/>
      <c r="AC255" s="280">
        <v>461762.0</v>
      </c>
      <c r="AD255" s="269"/>
      <c r="AE255" s="269"/>
      <c r="AF255" s="281"/>
      <c r="AG255" s="289" t="s">
        <v>806</v>
      </c>
      <c r="AH255" s="287"/>
      <c r="AI255" s="287"/>
      <c r="AJ255" s="287"/>
      <c r="AK255" s="287"/>
      <c r="AL255" s="287"/>
      <c r="AM255" s="287"/>
      <c r="AN255" s="287"/>
      <c r="AO255" s="287"/>
      <c r="AP255" s="287"/>
      <c r="AQ255" s="288"/>
      <c r="AR255" s="2"/>
      <c r="AS255" s="2"/>
      <c r="AT255" s="2"/>
      <c r="AU255" s="2"/>
      <c r="AV255" s="2"/>
      <c r="AW255" s="2"/>
      <c r="AX255" s="2"/>
      <c r="AY255" s="2"/>
      <c r="AZ255" s="2"/>
      <c r="BA255" s="2"/>
      <c r="BB255" s="2"/>
      <c r="BC255" s="2"/>
      <c r="BD255" s="2"/>
      <c r="BE255" s="2"/>
      <c r="BF255" s="2"/>
      <c r="BG255" s="2"/>
      <c r="BH255" s="2"/>
      <c r="BI255" s="2"/>
      <c r="BJ255" s="2"/>
      <c r="BK255" s="2"/>
      <c r="BL255" s="2"/>
    </row>
    <row r="256" ht="18.75" hidden="1" customHeight="1">
      <c r="A256" s="2"/>
      <c r="B256" s="268" t="str">
        <f t="shared" ref="B256:B259" si="92">$C$52 &amp; " - " &amp; C54</f>
        <v>Thieving - Pharaoh's Sceptre</v>
      </c>
      <c r="C256" s="269"/>
      <c r="D256" s="269"/>
      <c r="E256" s="269"/>
      <c r="F256" s="269"/>
      <c r="G256" s="270"/>
      <c r="H256" s="271" t="s">
        <v>589</v>
      </c>
      <c r="I256" s="269"/>
      <c r="J256" s="270"/>
      <c r="K256" s="272">
        <f t="shared" si="4"/>
        <v>10</v>
      </c>
      <c r="L256" s="271">
        <f t="shared" ref="L256:L259" si="93">$L$52</f>
        <v>3</v>
      </c>
      <c r="M256" s="269"/>
      <c r="N256" s="270"/>
      <c r="O256" s="273">
        <f t="shared" ref="O256:O259" si="94">K54</f>
        <v>1</v>
      </c>
      <c r="P256" s="269"/>
      <c r="Q256" s="270"/>
      <c r="R256" s="274">
        <f t="shared" si="7"/>
        <v>3.333333333</v>
      </c>
      <c r="S256" s="269"/>
      <c r="T256" s="275"/>
      <c r="U256" s="2"/>
      <c r="V256" s="2"/>
      <c r="W256" s="285" t="s">
        <v>327</v>
      </c>
      <c r="X256" s="269"/>
      <c r="Y256" s="269"/>
      <c r="Z256" s="269"/>
      <c r="AA256" s="269"/>
      <c r="AB256" s="281"/>
      <c r="AC256" s="280">
        <v>379715.0</v>
      </c>
      <c r="AD256" s="269"/>
      <c r="AE256" s="269"/>
      <c r="AF256" s="281"/>
      <c r="AG256" s="289" t="s">
        <v>807</v>
      </c>
      <c r="AH256" s="287"/>
      <c r="AI256" s="287"/>
      <c r="AJ256" s="287"/>
      <c r="AK256" s="287"/>
      <c r="AL256" s="287"/>
      <c r="AM256" s="287"/>
      <c r="AN256" s="287"/>
      <c r="AO256" s="287"/>
      <c r="AP256" s="287"/>
      <c r="AQ256" s="288"/>
      <c r="AR256" s="2"/>
      <c r="AS256" s="2"/>
      <c r="AT256" s="2"/>
      <c r="AU256" s="2"/>
      <c r="AV256" s="2"/>
      <c r="AW256" s="2"/>
      <c r="AX256" s="2"/>
      <c r="AY256" s="2"/>
      <c r="AZ256" s="2"/>
      <c r="BA256" s="2"/>
      <c r="BB256" s="2"/>
      <c r="BC256" s="2"/>
      <c r="BD256" s="2"/>
      <c r="BE256" s="2"/>
      <c r="BF256" s="2"/>
      <c r="BG256" s="2"/>
      <c r="BH256" s="2"/>
      <c r="BI256" s="2"/>
      <c r="BJ256" s="2"/>
      <c r="BK256" s="2"/>
      <c r="BL256" s="2"/>
    </row>
    <row r="257" ht="18.75" hidden="1" customHeight="1">
      <c r="A257" s="2"/>
      <c r="B257" s="268" t="str">
        <f t="shared" si="92"/>
        <v>Thieving - Ring of Endurance</v>
      </c>
      <c r="C257" s="269"/>
      <c r="D257" s="269"/>
      <c r="E257" s="269"/>
      <c r="F257" s="269"/>
      <c r="G257" s="270"/>
      <c r="H257" s="271" t="s">
        <v>589</v>
      </c>
      <c r="I257" s="269"/>
      <c r="J257" s="270"/>
      <c r="K257" s="272">
        <f t="shared" si="4"/>
        <v>10</v>
      </c>
      <c r="L257" s="271">
        <f t="shared" si="93"/>
        <v>3</v>
      </c>
      <c r="M257" s="269"/>
      <c r="N257" s="270"/>
      <c r="O257" s="273">
        <f t="shared" si="94"/>
        <v>2</v>
      </c>
      <c r="P257" s="269"/>
      <c r="Q257" s="270"/>
      <c r="R257" s="274">
        <f t="shared" si="7"/>
        <v>6.666666667</v>
      </c>
      <c r="S257" s="269"/>
      <c r="T257" s="275"/>
      <c r="U257" s="2"/>
      <c r="V257" s="2"/>
      <c r="W257" s="285" t="s">
        <v>808</v>
      </c>
      <c r="X257" s="269"/>
      <c r="Y257" s="269"/>
      <c r="Z257" s="269"/>
      <c r="AA257" s="269"/>
      <c r="AB257" s="281"/>
      <c r="AC257" s="280">
        <v>353234.0</v>
      </c>
      <c r="AD257" s="269"/>
      <c r="AE257" s="269"/>
      <c r="AF257" s="281"/>
      <c r="AG257" s="289" t="s">
        <v>809</v>
      </c>
      <c r="AH257" s="287"/>
      <c r="AI257" s="287"/>
      <c r="AJ257" s="287"/>
      <c r="AK257" s="287"/>
      <c r="AL257" s="287"/>
      <c r="AM257" s="287"/>
      <c r="AN257" s="287"/>
      <c r="AO257" s="287"/>
      <c r="AP257" s="287"/>
      <c r="AQ257" s="288"/>
      <c r="AR257" s="2"/>
      <c r="AS257" s="2"/>
      <c r="AT257" s="2"/>
      <c r="AU257" s="2"/>
      <c r="AV257" s="2"/>
      <c r="AW257" s="2"/>
      <c r="AX257" s="2"/>
      <c r="AY257" s="2"/>
      <c r="AZ257" s="2"/>
      <c r="BA257" s="2"/>
      <c r="BB257" s="2"/>
      <c r="BC257" s="2"/>
      <c r="BD257" s="2"/>
      <c r="BE257" s="2"/>
      <c r="BF257" s="2"/>
      <c r="BG257" s="2"/>
      <c r="BH257" s="2"/>
      <c r="BI257" s="2"/>
      <c r="BJ257" s="2"/>
      <c r="BK257" s="2"/>
      <c r="BL257" s="2"/>
    </row>
    <row r="258" ht="18.75" hidden="1" customHeight="1">
      <c r="A258" s="2"/>
      <c r="B258" s="268" t="str">
        <f t="shared" si="92"/>
        <v>Thieving - Enhanced Crystal Teleport Seed</v>
      </c>
      <c r="C258" s="269"/>
      <c r="D258" s="269"/>
      <c r="E258" s="269"/>
      <c r="F258" s="269"/>
      <c r="G258" s="270"/>
      <c r="H258" s="271" t="s">
        <v>589</v>
      </c>
      <c r="I258" s="269"/>
      <c r="J258" s="270"/>
      <c r="K258" s="272">
        <f t="shared" si="4"/>
        <v>10</v>
      </c>
      <c r="L258" s="271">
        <f t="shared" si="93"/>
        <v>3</v>
      </c>
      <c r="M258" s="269"/>
      <c r="N258" s="270"/>
      <c r="O258" s="273">
        <f t="shared" si="94"/>
        <v>1</v>
      </c>
      <c r="P258" s="269"/>
      <c r="Q258" s="270"/>
      <c r="R258" s="274">
        <f t="shared" si="7"/>
        <v>3.333333333</v>
      </c>
      <c r="S258" s="269"/>
      <c r="T258" s="275"/>
      <c r="U258" s="2"/>
      <c r="V258" s="2"/>
      <c r="W258" s="285" t="s">
        <v>381</v>
      </c>
      <c r="X258" s="269"/>
      <c r="Y258" s="269"/>
      <c r="Z258" s="269"/>
      <c r="AA258" s="269"/>
      <c r="AB258" s="281"/>
      <c r="AC258" s="280">
        <v>305440.0</v>
      </c>
      <c r="AD258" s="269"/>
      <c r="AE258" s="269"/>
      <c r="AF258" s="281"/>
      <c r="AG258" s="289" t="s">
        <v>810</v>
      </c>
      <c r="AH258" s="287"/>
      <c r="AI258" s="287"/>
      <c r="AJ258" s="287"/>
      <c r="AK258" s="287"/>
      <c r="AL258" s="287"/>
      <c r="AM258" s="287"/>
      <c r="AN258" s="287"/>
      <c r="AO258" s="287"/>
      <c r="AP258" s="287"/>
      <c r="AQ258" s="288"/>
      <c r="AR258" s="2"/>
      <c r="AS258" s="2"/>
      <c r="AT258" s="2"/>
      <c r="AU258" s="2"/>
      <c r="AV258" s="2"/>
      <c r="AW258" s="2"/>
      <c r="AX258" s="2"/>
      <c r="AY258" s="2"/>
      <c r="AZ258" s="2"/>
      <c r="BA258" s="2"/>
      <c r="BB258" s="2"/>
      <c r="BC258" s="2"/>
      <c r="BD258" s="2"/>
      <c r="BE258" s="2"/>
      <c r="BF258" s="2"/>
      <c r="BG258" s="2"/>
      <c r="BH258" s="2"/>
      <c r="BI258" s="2"/>
      <c r="BJ258" s="2"/>
      <c r="BK258" s="2"/>
      <c r="BL258" s="2"/>
    </row>
    <row r="259" ht="18.75" hidden="1" customHeight="1">
      <c r="A259" s="2"/>
      <c r="B259" s="268" t="str">
        <f t="shared" si="92"/>
        <v>Thieving - Blood Shard</v>
      </c>
      <c r="C259" s="269"/>
      <c r="D259" s="269"/>
      <c r="E259" s="269"/>
      <c r="F259" s="269"/>
      <c r="G259" s="270"/>
      <c r="H259" s="271" t="s">
        <v>589</v>
      </c>
      <c r="I259" s="269"/>
      <c r="J259" s="270"/>
      <c r="K259" s="272">
        <f t="shared" si="4"/>
        <v>10</v>
      </c>
      <c r="L259" s="271">
        <f t="shared" si="93"/>
        <v>3</v>
      </c>
      <c r="M259" s="269"/>
      <c r="N259" s="270"/>
      <c r="O259" s="273">
        <f t="shared" si="94"/>
        <v>1</v>
      </c>
      <c r="P259" s="269"/>
      <c r="Q259" s="270"/>
      <c r="R259" s="274">
        <f t="shared" si="7"/>
        <v>3.333333333</v>
      </c>
      <c r="S259" s="269"/>
      <c r="T259" s="275"/>
      <c r="U259" s="2"/>
      <c r="V259" s="2"/>
      <c r="W259" s="285" t="s">
        <v>319</v>
      </c>
      <c r="X259" s="269"/>
      <c r="Y259" s="269"/>
      <c r="Z259" s="269"/>
      <c r="AA259" s="269"/>
      <c r="AB259" s="281"/>
      <c r="AC259" s="280">
        <v>104065.0</v>
      </c>
      <c r="AD259" s="269"/>
      <c r="AE259" s="269"/>
      <c r="AF259" s="281"/>
      <c r="AG259" s="289" t="s">
        <v>127</v>
      </c>
      <c r="AH259" s="287"/>
      <c r="AI259" s="287"/>
      <c r="AJ259" s="287"/>
      <c r="AK259" s="287"/>
      <c r="AL259" s="287"/>
      <c r="AM259" s="287"/>
      <c r="AN259" s="287"/>
      <c r="AO259" s="287"/>
      <c r="AP259" s="287"/>
      <c r="AQ259" s="288"/>
      <c r="AR259" s="2"/>
      <c r="AS259" s="2"/>
      <c r="AT259" s="2"/>
      <c r="AU259" s="2"/>
      <c r="AV259" s="2"/>
      <c r="AW259" s="2"/>
      <c r="AX259" s="2"/>
      <c r="AY259" s="2"/>
      <c r="AZ259" s="2"/>
      <c r="BA259" s="2"/>
      <c r="BB259" s="2"/>
      <c r="BC259" s="2"/>
      <c r="BD259" s="2"/>
      <c r="BE259" s="2"/>
      <c r="BF259" s="2"/>
      <c r="BG259" s="2"/>
      <c r="BH259" s="2"/>
      <c r="BI259" s="2"/>
      <c r="BJ259" s="2"/>
      <c r="BK259" s="2"/>
      <c r="BL259" s="2"/>
    </row>
    <row r="260" ht="18.75" hidden="1" customHeight="1">
      <c r="A260" s="2"/>
      <c r="B260" s="268" t="str">
        <f t="shared" ref="B260:B265" si="95">$M$40 &amp; " - " &amp; M42</f>
        <v>Barrows - Ahrim's Piece (any)</v>
      </c>
      <c r="C260" s="269"/>
      <c r="D260" s="269"/>
      <c r="E260" s="269"/>
      <c r="F260" s="269"/>
      <c r="G260" s="270"/>
      <c r="H260" s="271" t="s">
        <v>578</v>
      </c>
      <c r="I260" s="269"/>
      <c r="J260" s="270"/>
      <c r="K260" s="272">
        <f t="shared" si="4"/>
        <v>5</v>
      </c>
      <c r="L260" s="271">
        <f t="shared" ref="L260:L265" si="96">$V$40</f>
        <v>12</v>
      </c>
      <c r="M260" s="269"/>
      <c r="N260" s="270"/>
      <c r="O260" s="273">
        <f t="shared" ref="O260:O265" si="97">U42</f>
        <v>1</v>
      </c>
      <c r="P260" s="269"/>
      <c r="Q260" s="270"/>
      <c r="R260" s="274">
        <f t="shared" si="7"/>
        <v>0.4166666667</v>
      </c>
      <c r="S260" s="269"/>
      <c r="T260" s="275"/>
      <c r="U260" s="2"/>
      <c r="V260" s="2"/>
      <c r="W260" s="285" t="s">
        <v>332</v>
      </c>
      <c r="X260" s="269"/>
      <c r="Y260" s="269"/>
      <c r="Z260" s="269"/>
      <c r="AA260" s="269"/>
      <c r="AB260" s="281"/>
      <c r="AC260" s="280">
        <v>89744.0</v>
      </c>
      <c r="AD260" s="269"/>
      <c r="AE260" s="269"/>
      <c r="AF260" s="281"/>
      <c r="AG260" s="289" t="s">
        <v>811</v>
      </c>
      <c r="AH260" s="287"/>
      <c r="AI260" s="287"/>
      <c r="AJ260" s="287"/>
      <c r="AK260" s="287"/>
      <c r="AL260" s="287"/>
      <c r="AM260" s="287"/>
      <c r="AN260" s="287"/>
      <c r="AO260" s="287"/>
      <c r="AP260" s="287"/>
      <c r="AQ260" s="288"/>
      <c r="AR260" s="2"/>
      <c r="AS260" s="2"/>
      <c r="AT260" s="2"/>
      <c r="AU260" s="2"/>
      <c r="AV260" s="2"/>
      <c r="AW260" s="2"/>
      <c r="AX260" s="2"/>
      <c r="AY260" s="2"/>
      <c r="AZ260" s="2"/>
      <c r="BA260" s="2"/>
      <c r="BB260" s="2"/>
      <c r="BC260" s="2"/>
      <c r="BD260" s="2"/>
      <c r="BE260" s="2"/>
      <c r="BF260" s="2"/>
      <c r="BG260" s="2"/>
      <c r="BH260" s="2"/>
      <c r="BI260" s="2"/>
      <c r="BJ260" s="2"/>
      <c r="BK260" s="2"/>
      <c r="BL260" s="2"/>
    </row>
    <row r="261" ht="18.75" hidden="1" customHeight="1">
      <c r="A261" s="2"/>
      <c r="B261" s="268" t="str">
        <f t="shared" si="95"/>
        <v>Barrows - Guthan's Piece (any)</v>
      </c>
      <c r="C261" s="269"/>
      <c r="D261" s="269"/>
      <c r="E261" s="269"/>
      <c r="F261" s="269"/>
      <c r="G261" s="270"/>
      <c r="H261" s="271" t="s">
        <v>578</v>
      </c>
      <c r="I261" s="269"/>
      <c r="J261" s="270"/>
      <c r="K261" s="272">
        <f t="shared" si="4"/>
        <v>5</v>
      </c>
      <c r="L261" s="271">
        <f t="shared" si="96"/>
        <v>12</v>
      </c>
      <c r="M261" s="269"/>
      <c r="N261" s="270"/>
      <c r="O261" s="273">
        <f t="shared" si="97"/>
        <v>1</v>
      </c>
      <c r="P261" s="269"/>
      <c r="Q261" s="270"/>
      <c r="R261" s="274">
        <f t="shared" si="7"/>
        <v>0.4166666667</v>
      </c>
      <c r="S261" s="269"/>
      <c r="T261" s="275"/>
      <c r="U261" s="2"/>
      <c r="V261" s="2"/>
      <c r="W261" s="285" t="s">
        <v>352</v>
      </c>
      <c r="X261" s="269"/>
      <c r="Y261" s="269"/>
      <c r="Z261" s="269"/>
      <c r="AA261" s="269"/>
      <c r="AB261" s="281"/>
      <c r="AC261" s="280">
        <v>67736.0</v>
      </c>
      <c r="AD261" s="269"/>
      <c r="AE261" s="269"/>
      <c r="AF261" s="281"/>
      <c r="AG261" s="289" t="s">
        <v>812</v>
      </c>
      <c r="AH261" s="287"/>
      <c r="AI261" s="287"/>
      <c r="AJ261" s="287"/>
      <c r="AK261" s="287"/>
      <c r="AL261" s="287"/>
      <c r="AM261" s="287"/>
      <c r="AN261" s="287"/>
      <c r="AO261" s="287"/>
      <c r="AP261" s="287"/>
      <c r="AQ261" s="288"/>
      <c r="AR261" s="2"/>
      <c r="AS261" s="2"/>
      <c r="AT261" s="2"/>
      <c r="AU261" s="2"/>
      <c r="AV261" s="2"/>
      <c r="AW261" s="2"/>
      <c r="AX261" s="2"/>
      <c r="AY261" s="2"/>
      <c r="AZ261" s="2"/>
      <c r="BA261" s="2"/>
      <c r="BB261" s="2"/>
      <c r="BC261" s="2"/>
      <c r="BD261" s="2"/>
      <c r="BE261" s="2"/>
      <c r="BF261" s="2"/>
      <c r="BG261" s="2"/>
      <c r="BH261" s="2"/>
      <c r="BI261" s="2"/>
      <c r="BJ261" s="2"/>
      <c r="BK261" s="2"/>
      <c r="BL261" s="2"/>
    </row>
    <row r="262" ht="18.75" hidden="1" customHeight="1">
      <c r="A262" s="2"/>
      <c r="B262" s="268" t="str">
        <f t="shared" si="95"/>
        <v>Barrows - Karil's Piece (any)</v>
      </c>
      <c r="C262" s="269"/>
      <c r="D262" s="269"/>
      <c r="E262" s="269"/>
      <c r="F262" s="269"/>
      <c r="G262" s="270"/>
      <c r="H262" s="271" t="s">
        <v>578</v>
      </c>
      <c r="I262" s="269"/>
      <c r="J262" s="270"/>
      <c r="K262" s="272">
        <f t="shared" si="4"/>
        <v>5</v>
      </c>
      <c r="L262" s="271">
        <f t="shared" si="96"/>
        <v>12</v>
      </c>
      <c r="M262" s="269"/>
      <c r="N262" s="270"/>
      <c r="O262" s="273">
        <f t="shared" si="97"/>
        <v>1</v>
      </c>
      <c r="P262" s="269"/>
      <c r="Q262" s="270"/>
      <c r="R262" s="274">
        <f t="shared" si="7"/>
        <v>0.4166666667</v>
      </c>
      <c r="S262" s="269"/>
      <c r="T262" s="275"/>
      <c r="U262" s="2"/>
      <c r="V262" s="2"/>
      <c r="W262" s="285" t="s">
        <v>374</v>
      </c>
      <c r="X262" s="269"/>
      <c r="Y262" s="269"/>
      <c r="Z262" s="269"/>
      <c r="AA262" s="269"/>
      <c r="AB262" s="281"/>
      <c r="AC262" s="280">
        <v>59432.0</v>
      </c>
      <c r="AD262" s="269"/>
      <c r="AE262" s="269"/>
      <c r="AF262" s="281"/>
      <c r="AG262" s="289" t="s">
        <v>813</v>
      </c>
      <c r="AH262" s="287"/>
      <c r="AI262" s="287"/>
      <c r="AJ262" s="287"/>
      <c r="AK262" s="287"/>
      <c r="AL262" s="287"/>
      <c r="AM262" s="287"/>
      <c r="AN262" s="287"/>
      <c r="AO262" s="287"/>
      <c r="AP262" s="287"/>
      <c r="AQ262" s="288"/>
      <c r="AR262" s="2"/>
      <c r="AS262" s="2"/>
      <c r="AT262" s="2"/>
      <c r="AU262" s="2"/>
      <c r="AV262" s="2"/>
      <c r="AW262" s="2"/>
      <c r="AX262" s="2"/>
      <c r="AY262" s="2"/>
      <c r="AZ262" s="2"/>
      <c r="BA262" s="2"/>
      <c r="BB262" s="2"/>
      <c r="BC262" s="2"/>
      <c r="BD262" s="2"/>
      <c r="BE262" s="2"/>
      <c r="BF262" s="2"/>
      <c r="BG262" s="2"/>
      <c r="BH262" s="2"/>
      <c r="BI262" s="2"/>
      <c r="BJ262" s="2"/>
      <c r="BK262" s="2"/>
      <c r="BL262" s="2"/>
    </row>
    <row r="263" ht="18.75" hidden="1" customHeight="1">
      <c r="A263" s="2"/>
      <c r="B263" s="268" t="str">
        <f t="shared" si="95"/>
        <v>Barrows - Dharok's Piece (any)</v>
      </c>
      <c r="C263" s="269"/>
      <c r="D263" s="269"/>
      <c r="E263" s="269"/>
      <c r="F263" s="269"/>
      <c r="G263" s="270"/>
      <c r="H263" s="271" t="s">
        <v>578</v>
      </c>
      <c r="I263" s="269"/>
      <c r="J263" s="270"/>
      <c r="K263" s="272">
        <f t="shared" si="4"/>
        <v>5</v>
      </c>
      <c r="L263" s="271">
        <f t="shared" si="96"/>
        <v>12</v>
      </c>
      <c r="M263" s="269"/>
      <c r="N263" s="270"/>
      <c r="O263" s="273">
        <f t="shared" si="97"/>
        <v>1</v>
      </c>
      <c r="P263" s="269"/>
      <c r="Q263" s="270"/>
      <c r="R263" s="274">
        <f t="shared" si="7"/>
        <v>0.4166666667</v>
      </c>
      <c r="S263" s="269"/>
      <c r="T263" s="275"/>
      <c r="U263" s="2"/>
      <c r="V263" s="2"/>
      <c r="W263" s="285" t="s">
        <v>348</v>
      </c>
      <c r="X263" s="269"/>
      <c r="Y263" s="269"/>
      <c r="Z263" s="269"/>
      <c r="AA263" s="269"/>
      <c r="AB263" s="281"/>
      <c r="AC263" s="280">
        <v>40393.0</v>
      </c>
      <c r="AD263" s="269"/>
      <c r="AE263" s="269"/>
      <c r="AF263" s="281"/>
      <c r="AG263" s="289" t="s">
        <v>180</v>
      </c>
      <c r="AH263" s="287"/>
      <c r="AI263" s="287"/>
      <c r="AJ263" s="287"/>
      <c r="AK263" s="287"/>
      <c r="AL263" s="287"/>
      <c r="AM263" s="287"/>
      <c r="AN263" s="287"/>
      <c r="AO263" s="287"/>
      <c r="AP263" s="287"/>
      <c r="AQ263" s="288"/>
      <c r="AR263" s="2"/>
      <c r="AS263" s="2"/>
      <c r="AT263" s="2"/>
      <c r="AU263" s="2"/>
      <c r="AV263" s="2"/>
      <c r="AW263" s="2"/>
      <c r="AX263" s="2"/>
      <c r="AY263" s="2"/>
      <c r="AZ263" s="2"/>
      <c r="BA263" s="2"/>
      <c r="BB263" s="2"/>
      <c r="BC263" s="2"/>
      <c r="BD263" s="2"/>
      <c r="BE263" s="2"/>
      <c r="BF263" s="2"/>
      <c r="BG263" s="2"/>
      <c r="BH263" s="2"/>
      <c r="BI263" s="2"/>
      <c r="BJ263" s="2"/>
      <c r="BK263" s="2"/>
      <c r="BL263" s="2"/>
    </row>
    <row r="264" ht="18.75" hidden="1" customHeight="1">
      <c r="A264" s="2"/>
      <c r="B264" s="268" t="str">
        <f t="shared" si="95"/>
        <v>Barrows - Torag's Piece (any)</v>
      </c>
      <c r="C264" s="269"/>
      <c r="D264" s="269"/>
      <c r="E264" s="269"/>
      <c r="F264" s="269"/>
      <c r="G264" s="270"/>
      <c r="H264" s="271" t="s">
        <v>578</v>
      </c>
      <c r="I264" s="269"/>
      <c r="J264" s="270"/>
      <c r="K264" s="272">
        <f t="shared" si="4"/>
        <v>5</v>
      </c>
      <c r="L264" s="271">
        <f t="shared" si="96"/>
        <v>12</v>
      </c>
      <c r="M264" s="269"/>
      <c r="N264" s="270"/>
      <c r="O264" s="273">
        <f t="shared" si="97"/>
        <v>1</v>
      </c>
      <c r="P264" s="269"/>
      <c r="Q264" s="270"/>
      <c r="R264" s="274">
        <f t="shared" si="7"/>
        <v>0.4166666667</v>
      </c>
      <c r="S264" s="269"/>
      <c r="T264" s="275"/>
      <c r="U264" s="2"/>
      <c r="V264" s="2"/>
      <c r="W264" s="285" t="s">
        <v>814</v>
      </c>
      <c r="X264" s="269"/>
      <c r="Y264" s="269"/>
      <c r="Z264" s="269"/>
      <c r="AA264" s="269"/>
      <c r="AB264" s="281"/>
      <c r="AC264" s="280">
        <v>3.15036934E8</v>
      </c>
      <c r="AD264" s="269"/>
      <c r="AE264" s="269"/>
      <c r="AF264" s="281"/>
      <c r="AG264" s="289" t="s">
        <v>815</v>
      </c>
      <c r="AH264" s="287"/>
      <c r="AI264" s="287"/>
      <c r="AJ264" s="287"/>
      <c r="AK264" s="287"/>
      <c r="AL264" s="287"/>
      <c r="AM264" s="287"/>
      <c r="AN264" s="287"/>
      <c r="AO264" s="287"/>
      <c r="AP264" s="287"/>
      <c r="AQ264" s="288"/>
      <c r="AR264" s="2"/>
      <c r="AS264" s="2"/>
      <c r="AT264" s="2"/>
      <c r="AU264" s="2"/>
      <c r="AV264" s="2"/>
      <c r="AW264" s="2"/>
      <c r="AX264" s="2"/>
      <c r="AY264" s="2"/>
      <c r="AZ264" s="2"/>
      <c r="BA264" s="2"/>
      <c r="BB264" s="2"/>
      <c r="BC264" s="2"/>
      <c r="BD264" s="2"/>
      <c r="BE264" s="2"/>
      <c r="BF264" s="2"/>
      <c r="BG264" s="2"/>
      <c r="BH264" s="2"/>
      <c r="BI264" s="2"/>
      <c r="BJ264" s="2"/>
      <c r="BK264" s="2"/>
      <c r="BL264" s="2"/>
    </row>
    <row r="265" ht="18.75" hidden="1" customHeight="1">
      <c r="A265" s="2"/>
      <c r="B265" s="268" t="str">
        <f t="shared" si="95"/>
        <v>Barrows - Verac's Piece (any)</v>
      </c>
      <c r="C265" s="269"/>
      <c r="D265" s="269"/>
      <c r="E265" s="269"/>
      <c r="F265" s="269"/>
      <c r="G265" s="270"/>
      <c r="H265" s="271" t="s">
        <v>578</v>
      </c>
      <c r="I265" s="269"/>
      <c r="J265" s="270"/>
      <c r="K265" s="272">
        <f t="shared" si="4"/>
        <v>5</v>
      </c>
      <c r="L265" s="271">
        <f t="shared" si="96"/>
        <v>12</v>
      </c>
      <c r="M265" s="269"/>
      <c r="N265" s="270"/>
      <c r="O265" s="273">
        <f t="shared" si="97"/>
        <v>1</v>
      </c>
      <c r="P265" s="269"/>
      <c r="Q265" s="270"/>
      <c r="R265" s="274">
        <f t="shared" si="7"/>
        <v>0.4166666667</v>
      </c>
      <c r="S265" s="269"/>
      <c r="T265" s="275"/>
      <c r="U265" s="2"/>
      <c r="V265" s="2"/>
      <c r="W265" s="285" t="s">
        <v>816</v>
      </c>
      <c r="X265" s="269"/>
      <c r="Y265" s="269"/>
      <c r="Z265" s="269"/>
      <c r="AA265" s="269"/>
      <c r="AB265" s="281"/>
      <c r="AC265" s="280">
        <v>1.97641346E8</v>
      </c>
      <c r="AD265" s="269"/>
      <c r="AE265" s="269"/>
      <c r="AF265" s="281"/>
      <c r="AG265" s="289" t="s">
        <v>817</v>
      </c>
      <c r="AH265" s="287"/>
      <c r="AI265" s="287"/>
      <c r="AJ265" s="287"/>
      <c r="AK265" s="287"/>
      <c r="AL265" s="287"/>
      <c r="AM265" s="287"/>
      <c r="AN265" s="287"/>
      <c r="AO265" s="287"/>
      <c r="AP265" s="287"/>
      <c r="AQ265" s="288"/>
      <c r="AR265" s="2"/>
      <c r="AS265" s="2"/>
      <c r="AT265" s="2"/>
      <c r="AU265" s="2"/>
      <c r="AV265" s="2"/>
      <c r="AW265" s="2"/>
      <c r="AX265" s="2"/>
      <c r="AY265" s="2"/>
      <c r="AZ265" s="2"/>
      <c r="BA265" s="2"/>
      <c r="BB265" s="2"/>
      <c r="BC265" s="2"/>
      <c r="BD265" s="2"/>
      <c r="BE265" s="2"/>
      <c r="BF265" s="2"/>
      <c r="BG265" s="2"/>
      <c r="BH265" s="2"/>
      <c r="BI265" s="2"/>
      <c r="BJ265" s="2"/>
      <c r="BK265" s="2"/>
      <c r="BL265" s="2"/>
    </row>
    <row r="266" ht="18.75" hidden="1" customHeight="1">
      <c r="A266" s="2"/>
      <c r="B266" s="268" t="str">
        <f t="shared" ref="B266:B280" si="98">$W$47 &amp; " - " &amp; W49</f>
        <v>DT2 Bosses - Chromium Ingot</v>
      </c>
      <c r="C266" s="269"/>
      <c r="D266" s="269"/>
      <c r="E266" s="269"/>
      <c r="F266" s="269"/>
      <c r="G266" s="270"/>
      <c r="H266" s="271" t="s">
        <v>603</v>
      </c>
      <c r="I266" s="269"/>
      <c r="J266" s="270"/>
      <c r="K266" s="272">
        <f t="shared" si="4"/>
        <v>20</v>
      </c>
      <c r="L266" s="271">
        <f t="shared" ref="L266:L280" si="99">$AF$47</f>
        <v>12</v>
      </c>
      <c r="M266" s="269"/>
      <c r="N266" s="270"/>
      <c r="O266" s="273">
        <f t="shared" ref="O266:O280" si="100">AE49</f>
        <v>1</v>
      </c>
      <c r="P266" s="269"/>
      <c r="Q266" s="270"/>
      <c r="R266" s="274">
        <f t="shared" si="7"/>
        <v>1.666666667</v>
      </c>
      <c r="S266" s="269"/>
      <c r="T266" s="275"/>
      <c r="U266" s="2"/>
      <c r="V266" s="2"/>
      <c r="W266" s="285" t="s">
        <v>818</v>
      </c>
      <c r="X266" s="269"/>
      <c r="Y266" s="269"/>
      <c r="Z266" s="269"/>
      <c r="AA266" s="269"/>
      <c r="AB266" s="281"/>
      <c r="AC266" s="280">
        <v>1.54678983E8</v>
      </c>
      <c r="AD266" s="269"/>
      <c r="AE266" s="269"/>
      <c r="AF266" s="281"/>
      <c r="AG266" s="289" t="s">
        <v>819</v>
      </c>
      <c r="AH266" s="287"/>
      <c r="AI266" s="287"/>
      <c r="AJ266" s="287"/>
      <c r="AK266" s="287"/>
      <c r="AL266" s="287"/>
      <c r="AM266" s="287"/>
      <c r="AN266" s="287"/>
      <c r="AO266" s="287"/>
      <c r="AP266" s="287"/>
      <c r="AQ266" s="288"/>
      <c r="AR266" s="2"/>
      <c r="AS266" s="2"/>
      <c r="AT266" s="2"/>
      <c r="AU266" s="2"/>
      <c r="AV266" s="2"/>
      <c r="AW266" s="2"/>
      <c r="AX266" s="2"/>
      <c r="AY266" s="2"/>
      <c r="AZ266" s="2"/>
      <c r="BA266" s="2"/>
      <c r="BB266" s="2"/>
      <c r="BC266" s="2"/>
      <c r="BD266" s="2"/>
      <c r="BE266" s="2"/>
      <c r="BF266" s="2"/>
      <c r="BG266" s="2"/>
      <c r="BH266" s="2"/>
      <c r="BI266" s="2"/>
      <c r="BJ266" s="2"/>
      <c r="BK266" s="2"/>
      <c r="BL266" s="2"/>
    </row>
    <row r="267" ht="18.75" hidden="1" customHeight="1">
      <c r="A267" s="2"/>
      <c r="B267" s="268" t="str">
        <f t="shared" si="98"/>
        <v>DT2 Bosses - Virtus Piece (any)</v>
      </c>
      <c r="C267" s="269"/>
      <c r="D267" s="269"/>
      <c r="E267" s="269"/>
      <c r="F267" s="269"/>
      <c r="G267" s="270"/>
      <c r="H267" s="271" t="s">
        <v>603</v>
      </c>
      <c r="I267" s="269"/>
      <c r="J267" s="270"/>
      <c r="K267" s="272">
        <f t="shared" si="4"/>
        <v>20</v>
      </c>
      <c r="L267" s="271">
        <f t="shared" si="99"/>
        <v>12</v>
      </c>
      <c r="M267" s="269"/>
      <c r="N267" s="270"/>
      <c r="O267" s="273">
        <f t="shared" si="100"/>
        <v>4</v>
      </c>
      <c r="P267" s="269"/>
      <c r="Q267" s="270"/>
      <c r="R267" s="274">
        <f t="shared" si="7"/>
        <v>6.666666667</v>
      </c>
      <c r="S267" s="269"/>
      <c r="T267" s="275"/>
      <c r="U267" s="2"/>
      <c r="V267" s="2"/>
      <c r="W267" s="285" t="s">
        <v>820</v>
      </c>
      <c r="X267" s="269"/>
      <c r="Y267" s="269"/>
      <c r="Z267" s="269"/>
      <c r="AA267" s="269"/>
      <c r="AB267" s="281"/>
      <c r="AC267" s="280">
        <v>9.0875248E7</v>
      </c>
      <c r="AD267" s="269"/>
      <c r="AE267" s="269"/>
      <c r="AF267" s="281"/>
      <c r="AG267" s="289" t="s">
        <v>821</v>
      </c>
      <c r="AH267" s="287"/>
      <c r="AI267" s="287"/>
      <c r="AJ267" s="287"/>
      <c r="AK267" s="287"/>
      <c r="AL267" s="287"/>
      <c r="AM267" s="287"/>
      <c r="AN267" s="287"/>
      <c r="AO267" s="287"/>
      <c r="AP267" s="287"/>
      <c r="AQ267" s="288"/>
      <c r="AR267" s="2"/>
      <c r="AS267" s="2"/>
      <c r="AT267" s="2"/>
      <c r="AU267" s="2"/>
      <c r="AV267" s="2"/>
      <c r="AW267" s="2"/>
      <c r="AX267" s="2"/>
      <c r="AY267" s="2"/>
      <c r="AZ267" s="2"/>
      <c r="BA267" s="2"/>
      <c r="BB267" s="2"/>
      <c r="BC267" s="2"/>
      <c r="BD267" s="2"/>
      <c r="BE267" s="2"/>
      <c r="BF267" s="2"/>
      <c r="BG267" s="2"/>
      <c r="BH267" s="2"/>
      <c r="BI267" s="2"/>
      <c r="BJ267" s="2"/>
      <c r="BK267" s="2"/>
      <c r="BL267" s="2"/>
    </row>
    <row r="268" ht="18.75" hidden="1" customHeight="1">
      <c r="A268" s="2"/>
      <c r="B268" s="268" t="str">
        <f t="shared" si="98"/>
        <v>DT2 Bosses - Ultor Vestige (+ 2x gold ring)</v>
      </c>
      <c r="C268" s="269"/>
      <c r="D268" s="269"/>
      <c r="E268" s="269"/>
      <c r="F268" s="269"/>
      <c r="G268" s="270"/>
      <c r="H268" s="271" t="s">
        <v>603</v>
      </c>
      <c r="I268" s="269"/>
      <c r="J268" s="270"/>
      <c r="K268" s="272">
        <f t="shared" si="4"/>
        <v>20</v>
      </c>
      <c r="L268" s="271">
        <f t="shared" si="99"/>
        <v>12</v>
      </c>
      <c r="M268" s="269"/>
      <c r="N268" s="270"/>
      <c r="O268" s="273">
        <f t="shared" si="100"/>
        <v>4</v>
      </c>
      <c r="P268" s="269"/>
      <c r="Q268" s="270"/>
      <c r="R268" s="274">
        <f t="shared" si="7"/>
        <v>6.666666667</v>
      </c>
      <c r="S268" s="269"/>
      <c r="T268" s="275"/>
      <c r="U268" s="2"/>
      <c r="V268" s="2"/>
      <c r="W268" s="285" t="s">
        <v>822</v>
      </c>
      <c r="X268" s="269"/>
      <c r="Y268" s="269"/>
      <c r="Z268" s="269"/>
      <c r="AA268" s="269"/>
      <c r="AB268" s="281"/>
      <c r="AC268" s="280">
        <v>7.0992813E7</v>
      </c>
      <c r="AD268" s="269"/>
      <c r="AE268" s="269"/>
      <c r="AF268" s="281"/>
      <c r="AG268" s="289" t="s">
        <v>823</v>
      </c>
      <c r="AH268" s="287"/>
      <c r="AI268" s="287"/>
      <c r="AJ268" s="287"/>
      <c r="AK268" s="287"/>
      <c r="AL268" s="287"/>
      <c r="AM268" s="287"/>
      <c r="AN268" s="287"/>
      <c r="AO268" s="287"/>
      <c r="AP268" s="287"/>
      <c r="AQ268" s="288"/>
      <c r="AR268" s="2"/>
      <c r="AS268" s="2"/>
      <c r="AT268" s="2"/>
      <c r="AU268" s="2"/>
      <c r="AV268" s="2"/>
      <c r="AW268" s="2"/>
      <c r="AX268" s="2"/>
      <c r="AY268" s="2"/>
      <c r="AZ268" s="2"/>
      <c r="BA268" s="2"/>
      <c r="BB268" s="2"/>
      <c r="BC268" s="2"/>
      <c r="BD268" s="2"/>
      <c r="BE268" s="2"/>
      <c r="BF268" s="2"/>
      <c r="BG268" s="2"/>
      <c r="BH268" s="2"/>
      <c r="BI268" s="2"/>
      <c r="BJ268" s="2"/>
      <c r="BK268" s="2"/>
      <c r="BL268" s="2"/>
    </row>
    <row r="269" ht="18.75" hidden="1" customHeight="1">
      <c r="A269" s="2"/>
      <c r="B269" s="268" t="str">
        <f t="shared" si="98"/>
        <v>DT2 Bosses - Executioner's Axe Head</v>
      </c>
      <c r="C269" s="269"/>
      <c r="D269" s="269"/>
      <c r="E269" s="269"/>
      <c r="F269" s="269"/>
      <c r="G269" s="270"/>
      <c r="H269" s="271" t="s">
        <v>603</v>
      </c>
      <c r="I269" s="269"/>
      <c r="J269" s="270"/>
      <c r="K269" s="272">
        <f t="shared" si="4"/>
        <v>20</v>
      </c>
      <c r="L269" s="271">
        <f t="shared" si="99"/>
        <v>12</v>
      </c>
      <c r="M269" s="269"/>
      <c r="N269" s="270"/>
      <c r="O269" s="273">
        <f t="shared" si="100"/>
        <v>4</v>
      </c>
      <c r="P269" s="269"/>
      <c r="Q269" s="270"/>
      <c r="R269" s="274">
        <f t="shared" si="7"/>
        <v>6.666666667</v>
      </c>
      <c r="S269" s="269"/>
      <c r="T269" s="275"/>
      <c r="U269" s="2"/>
      <c r="V269" s="2"/>
      <c r="W269" s="285" t="s">
        <v>824</v>
      </c>
      <c r="X269" s="269"/>
      <c r="Y269" s="269"/>
      <c r="Z269" s="269"/>
      <c r="AA269" s="269"/>
      <c r="AB269" s="281"/>
      <c r="AC269" s="280">
        <v>3.5106926E7</v>
      </c>
      <c r="AD269" s="269"/>
      <c r="AE269" s="269"/>
      <c r="AF269" s="281"/>
      <c r="AG269" s="289" t="s">
        <v>825</v>
      </c>
      <c r="AH269" s="287"/>
      <c r="AI269" s="287"/>
      <c r="AJ269" s="287"/>
      <c r="AK269" s="287"/>
      <c r="AL269" s="287"/>
      <c r="AM269" s="287"/>
      <c r="AN269" s="287"/>
      <c r="AO269" s="287"/>
      <c r="AP269" s="287"/>
      <c r="AQ269" s="288"/>
      <c r="AR269" s="2"/>
      <c r="AS269" s="2"/>
      <c r="AT269" s="2"/>
      <c r="AU269" s="2"/>
      <c r="AV269" s="2"/>
      <c r="AW269" s="2"/>
      <c r="AX269" s="2"/>
      <c r="AY269" s="2"/>
      <c r="AZ269" s="2"/>
      <c r="BA269" s="2"/>
      <c r="BB269" s="2"/>
      <c r="BC269" s="2"/>
      <c r="BD269" s="2"/>
      <c r="BE269" s="2"/>
      <c r="BF269" s="2"/>
      <c r="BG269" s="2"/>
      <c r="BH269" s="2"/>
      <c r="BI269" s="2"/>
      <c r="BJ269" s="2"/>
      <c r="BK269" s="2"/>
      <c r="BL269" s="2"/>
    </row>
    <row r="270" ht="18.75" hidden="1" customHeight="1">
      <c r="A270" s="2"/>
      <c r="B270" s="268" t="str">
        <f t="shared" si="98"/>
        <v>DT2 Bosses - Blood Quartz</v>
      </c>
      <c r="C270" s="269"/>
      <c r="D270" s="269"/>
      <c r="E270" s="269"/>
      <c r="F270" s="269"/>
      <c r="G270" s="270"/>
      <c r="H270" s="271" t="s">
        <v>603</v>
      </c>
      <c r="I270" s="269"/>
      <c r="J270" s="270"/>
      <c r="K270" s="272">
        <f t="shared" si="4"/>
        <v>20</v>
      </c>
      <c r="L270" s="271">
        <f t="shared" si="99"/>
        <v>12</v>
      </c>
      <c r="M270" s="269"/>
      <c r="N270" s="270"/>
      <c r="O270" s="273">
        <f t="shared" si="100"/>
        <v>1</v>
      </c>
      <c r="P270" s="269"/>
      <c r="Q270" s="270"/>
      <c r="R270" s="274">
        <f t="shared" si="7"/>
        <v>1.666666667</v>
      </c>
      <c r="S270" s="269"/>
      <c r="T270" s="275"/>
      <c r="U270" s="2"/>
      <c r="V270" s="2"/>
      <c r="W270" s="285" t="s">
        <v>826</v>
      </c>
      <c r="X270" s="269"/>
      <c r="Y270" s="269"/>
      <c r="Z270" s="269"/>
      <c r="AA270" s="269"/>
      <c r="AB270" s="281"/>
      <c r="AC270" s="280">
        <v>4.17798384E8</v>
      </c>
      <c r="AD270" s="269"/>
      <c r="AE270" s="269"/>
      <c r="AF270" s="281"/>
      <c r="AG270" s="289" t="s">
        <v>827</v>
      </c>
      <c r="AH270" s="287"/>
      <c r="AI270" s="287"/>
      <c r="AJ270" s="287"/>
      <c r="AK270" s="287"/>
      <c r="AL270" s="287"/>
      <c r="AM270" s="287"/>
      <c r="AN270" s="287"/>
      <c r="AO270" s="287"/>
      <c r="AP270" s="287"/>
      <c r="AQ270" s="288"/>
      <c r="AR270" s="2"/>
      <c r="AS270" s="2"/>
      <c r="AT270" s="2"/>
      <c r="AU270" s="2"/>
      <c r="AV270" s="2"/>
      <c r="AW270" s="2"/>
      <c r="AX270" s="2"/>
      <c r="AY270" s="2"/>
      <c r="AZ270" s="2"/>
      <c r="BA270" s="2"/>
      <c r="BB270" s="2"/>
      <c r="BC270" s="2"/>
      <c r="BD270" s="2"/>
      <c r="BE270" s="2"/>
      <c r="BF270" s="2"/>
      <c r="BG270" s="2"/>
      <c r="BH270" s="2"/>
      <c r="BI270" s="2"/>
      <c r="BJ270" s="2"/>
      <c r="BK270" s="2"/>
      <c r="BL270" s="2"/>
    </row>
    <row r="271" ht="18.75" hidden="1" customHeight="1">
      <c r="A271" s="2"/>
      <c r="B271" s="268" t="str">
        <f t="shared" si="98"/>
        <v>DT2 Bosses - Magus Vestige (+ 2x gold ring)</v>
      </c>
      <c r="C271" s="269"/>
      <c r="D271" s="269"/>
      <c r="E271" s="269"/>
      <c r="F271" s="269"/>
      <c r="G271" s="270"/>
      <c r="H271" s="271" t="s">
        <v>603</v>
      </c>
      <c r="I271" s="269"/>
      <c r="J271" s="270"/>
      <c r="K271" s="272">
        <f t="shared" si="4"/>
        <v>20</v>
      </c>
      <c r="L271" s="271">
        <f t="shared" si="99"/>
        <v>12</v>
      </c>
      <c r="M271" s="269"/>
      <c r="N271" s="270"/>
      <c r="O271" s="273">
        <f t="shared" si="100"/>
        <v>4</v>
      </c>
      <c r="P271" s="269"/>
      <c r="Q271" s="270"/>
      <c r="R271" s="274">
        <f t="shared" si="7"/>
        <v>6.666666667</v>
      </c>
      <c r="S271" s="269"/>
      <c r="T271" s="275"/>
      <c r="U271" s="2"/>
      <c r="V271" s="2"/>
      <c r="W271" s="285" t="s">
        <v>828</v>
      </c>
      <c r="X271" s="269"/>
      <c r="Y271" s="269"/>
      <c r="Z271" s="269"/>
      <c r="AA271" s="269"/>
      <c r="AB271" s="281"/>
      <c r="AC271" s="280">
        <v>3.09570815E8</v>
      </c>
      <c r="AD271" s="269"/>
      <c r="AE271" s="269"/>
      <c r="AF271" s="281"/>
      <c r="AG271" s="289" t="s">
        <v>829</v>
      </c>
      <c r="AH271" s="287"/>
      <c r="AI271" s="287"/>
      <c r="AJ271" s="287"/>
      <c r="AK271" s="287"/>
      <c r="AL271" s="287"/>
      <c r="AM271" s="287"/>
      <c r="AN271" s="287"/>
      <c r="AO271" s="287"/>
      <c r="AP271" s="287"/>
      <c r="AQ271" s="288"/>
      <c r="AR271" s="2"/>
      <c r="AS271" s="2"/>
      <c r="AT271" s="2"/>
      <c r="AU271" s="2"/>
      <c r="AV271" s="2"/>
      <c r="AW271" s="2"/>
      <c r="AX271" s="2"/>
      <c r="AY271" s="2"/>
      <c r="AZ271" s="2"/>
      <c r="BA271" s="2"/>
      <c r="BB271" s="2"/>
      <c r="BC271" s="2"/>
      <c r="BD271" s="2"/>
      <c r="BE271" s="2"/>
      <c r="BF271" s="2"/>
      <c r="BG271" s="2"/>
      <c r="BH271" s="2"/>
      <c r="BI271" s="2"/>
      <c r="BJ271" s="2"/>
      <c r="BK271" s="2"/>
      <c r="BL271" s="2"/>
    </row>
    <row r="272" ht="18.75" hidden="1" customHeight="1">
      <c r="A272" s="2"/>
      <c r="B272" s="268" t="str">
        <f t="shared" si="98"/>
        <v>DT2 Bosses - Eye of the Duke</v>
      </c>
      <c r="C272" s="269"/>
      <c r="D272" s="269"/>
      <c r="E272" s="269"/>
      <c r="F272" s="269"/>
      <c r="G272" s="270"/>
      <c r="H272" s="271" t="s">
        <v>603</v>
      </c>
      <c r="I272" s="269"/>
      <c r="J272" s="270"/>
      <c r="K272" s="272">
        <f t="shared" si="4"/>
        <v>20</v>
      </c>
      <c r="L272" s="271">
        <f t="shared" si="99"/>
        <v>12</v>
      </c>
      <c r="M272" s="269"/>
      <c r="N272" s="270"/>
      <c r="O272" s="273">
        <f t="shared" si="100"/>
        <v>4</v>
      </c>
      <c r="P272" s="269"/>
      <c r="Q272" s="270"/>
      <c r="R272" s="274">
        <f t="shared" si="7"/>
        <v>6.666666667</v>
      </c>
      <c r="S272" s="269"/>
      <c r="T272" s="275"/>
      <c r="U272" s="2"/>
      <c r="V272" s="2"/>
      <c r="W272" s="285" t="s">
        <v>830</v>
      </c>
      <c r="X272" s="269"/>
      <c r="Y272" s="269"/>
      <c r="Z272" s="269"/>
      <c r="AA272" s="269"/>
      <c r="AB272" s="281"/>
      <c r="AC272" s="280">
        <v>1.28994786E8</v>
      </c>
      <c r="AD272" s="269"/>
      <c r="AE272" s="269"/>
      <c r="AF272" s="281"/>
      <c r="AG272" s="289" t="s">
        <v>831</v>
      </c>
      <c r="AH272" s="287"/>
      <c r="AI272" s="287"/>
      <c r="AJ272" s="287"/>
      <c r="AK272" s="287"/>
      <c r="AL272" s="287"/>
      <c r="AM272" s="287"/>
      <c r="AN272" s="287"/>
      <c r="AO272" s="287"/>
      <c r="AP272" s="287"/>
      <c r="AQ272" s="288"/>
      <c r="AR272" s="2"/>
      <c r="AS272" s="2"/>
      <c r="AT272" s="2"/>
      <c r="AU272" s="2"/>
      <c r="AV272" s="2"/>
      <c r="AW272" s="2"/>
      <c r="AX272" s="2"/>
      <c r="AY272" s="2"/>
      <c r="AZ272" s="2"/>
      <c r="BA272" s="2"/>
      <c r="BB272" s="2"/>
      <c r="BC272" s="2"/>
      <c r="BD272" s="2"/>
      <c r="BE272" s="2"/>
      <c r="BF272" s="2"/>
      <c r="BG272" s="2"/>
      <c r="BH272" s="2"/>
      <c r="BI272" s="2"/>
      <c r="BJ272" s="2"/>
      <c r="BK272" s="2"/>
      <c r="BL272" s="2"/>
    </row>
    <row r="273" ht="18.75" hidden="1" customHeight="1">
      <c r="A273" s="2"/>
      <c r="B273" s="268" t="str">
        <f t="shared" si="98"/>
        <v>DT2 Bosses - Ice Quartz</v>
      </c>
      <c r="C273" s="269"/>
      <c r="D273" s="269"/>
      <c r="E273" s="269"/>
      <c r="F273" s="269"/>
      <c r="G273" s="270"/>
      <c r="H273" s="271" t="s">
        <v>603</v>
      </c>
      <c r="I273" s="269"/>
      <c r="J273" s="270"/>
      <c r="K273" s="272">
        <f t="shared" si="4"/>
        <v>20</v>
      </c>
      <c r="L273" s="271">
        <f t="shared" si="99"/>
        <v>12</v>
      </c>
      <c r="M273" s="269"/>
      <c r="N273" s="270"/>
      <c r="O273" s="273">
        <f t="shared" si="100"/>
        <v>1</v>
      </c>
      <c r="P273" s="269"/>
      <c r="Q273" s="270"/>
      <c r="R273" s="274">
        <f t="shared" si="7"/>
        <v>1.666666667</v>
      </c>
      <c r="S273" s="269"/>
      <c r="T273" s="275"/>
      <c r="U273" s="2"/>
      <c r="V273" s="2"/>
      <c r="W273" s="285" t="s">
        <v>832</v>
      </c>
      <c r="X273" s="269"/>
      <c r="Y273" s="269"/>
      <c r="Z273" s="269"/>
      <c r="AA273" s="269"/>
      <c r="AB273" s="281"/>
      <c r="AC273" s="280">
        <v>1.25594123E8</v>
      </c>
      <c r="AD273" s="269"/>
      <c r="AE273" s="269"/>
      <c r="AF273" s="281"/>
      <c r="AG273" s="289" t="s">
        <v>833</v>
      </c>
      <c r="AH273" s="287"/>
      <c r="AI273" s="287"/>
      <c r="AJ273" s="287"/>
      <c r="AK273" s="287"/>
      <c r="AL273" s="287"/>
      <c r="AM273" s="287"/>
      <c r="AN273" s="287"/>
      <c r="AO273" s="287"/>
      <c r="AP273" s="287"/>
      <c r="AQ273" s="288"/>
      <c r="AR273" s="2"/>
      <c r="AS273" s="2"/>
      <c r="AT273" s="2"/>
      <c r="AU273" s="2"/>
      <c r="AV273" s="2"/>
      <c r="AW273" s="2"/>
      <c r="AX273" s="2"/>
      <c r="AY273" s="2"/>
      <c r="AZ273" s="2"/>
      <c r="BA273" s="2"/>
      <c r="BB273" s="2"/>
      <c r="BC273" s="2"/>
      <c r="BD273" s="2"/>
      <c r="BE273" s="2"/>
      <c r="BF273" s="2"/>
      <c r="BG273" s="2"/>
      <c r="BH273" s="2"/>
      <c r="BI273" s="2"/>
      <c r="BJ273" s="2"/>
      <c r="BK273" s="2"/>
      <c r="BL273" s="2"/>
    </row>
    <row r="274" ht="18.75" hidden="1" customHeight="1">
      <c r="A274" s="2"/>
      <c r="B274" s="268" t="str">
        <f t="shared" si="98"/>
        <v>DT2 Bosses - Venator Vestige (+ 2x gold ring)</v>
      </c>
      <c r="C274" s="269"/>
      <c r="D274" s="269"/>
      <c r="E274" s="269"/>
      <c r="F274" s="269"/>
      <c r="G274" s="270"/>
      <c r="H274" s="271" t="s">
        <v>603</v>
      </c>
      <c r="I274" s="269"/>
      <c r="J274" s="270"/>
      <c r="K274" s="272">
        <f t="shared" si="4"/>
        <v>20</v>
      </c>
      <c r="L274" s="271">
        <f t="shared" si="99"/>
        <v>12</v>
      </c>
      <c r="M274" s="269"/>
      <c r="N274" s="270"/>
      <c r="O274" s="273">
        <f t="shared" si="100"/>
        <v>4</v>
      </c>
      <c r="P274" s="269"/>
      <c r="Q274" s="270"/>
      <c r="R274" s="274">
        <f t="shared" si="7"/>
        <v>6.666666667</v>
      </c>
      <c r="S274" s="269"/>
      <c r="T274" s="275"/>
      <c r="U274" s="2"/>
      <c r="V274" s="2"/>
      <c r="W274" s="285" t="s">
        <v>834</v>
      </c>
      <c r="X274" s="269"/>
      <c r="Y274" s="269"/>
      <c r="Z274" s="269"/>
      <c r="AA274" s="269"/>
      <c r="AB274" s="281"/>
      <c r="AC274" s="280">
        <v>1.20053964E8</v>
      </c>
      <c r="AD274" s="269"/>
      <c r="AE274" s="269"/>
      <c r="AF274" s="281"/>
      <c r="AG274" s="289" t="s">
        <v>835</v>
      </c>
      <c r="AH274" s="287"/>
      <c r="AI274" s="287"/>
      <c r="AJ274" s="287"/>
      <c r="AK274" s="287"/>
      <c r="AL274" s="287"/>
      <c r="AM274" s="287"/>
      <c r="AN274" s="287"/>
      <c r="AO274" s="287"/>
      <c r="AP274" s="287"/>
      <c r="AQ274" s="288"/>
      <c r="AR274" s="2"/>
      <c r="AS274" s="2"/>
      <c r="AT274" s="2"/>
      <c r="AU274" s="2"/>
      <c r="AV274" s="2"/>
      <c r="AW274" s="2"/>
      <c r="AX274" s="2"/>
      <c r="AY274" s="2"/>
      <c r="AZ274" s="2"/>
      <c r="BA274" s="2"/>
      <c r="BB274" s="2"/>
      <c r="BC274" s="2"/>
      <c r="BD274" s="2"/>
      <c r="BE274" s="2"/>
      <c r="BF274" s="2"/>
      <c r="BG274" s="2"/>
      <c r="BH274" s="2"/>
      <c r="BI274" s="2"/>
      <c r="BJ274" s="2"/>
      <c r="BK274" s="2"/>
      <c r="BL274" s="2"/>
    </row>
    <row r="275" ht="18.75" hidden="1" customHeight="1">
      <c r="A275" s="2"/>
      <c r="B275" s="268" t="str">
        <f t="shared" si="98"/>
        <v>DT2 Bosses - Leviathan's Lure</v>
      </c>
      <c r="C275" s="269"/>
      <c r="D275" s="269"/>
      <c r="E275" s="269"/>
      <c r="F275" s="269"/>
      <c r="G275" s="270"/>
      <c r="H275" s="271" t="s">
        <v>603</v>
      </c>
      <c r="I275" s="269"/>
      <c r="J275" s="270"/>
      <c r="K275" s="272">
        <f t="shared" si="4"/>
        <v>20</v>
      </c>
      <c r="L275" s="271">
        <f t="shared" si="99"/>
        <v>12</v>
      </c>
      <c r="M275" s="269"/>
      <c r="N275" s="270"/>
      <c r="O275" s="273">
        <f t="shared" si="100"/>
        <v>4</v>
      </c>
      <c r="P275" s="269"/>
      <c r="Q275" s="270"/>
      <c r="R275" s="274">
        <f t="shared" si="7"/>
        <v>6.666666667</v>
      </c>
      <c r="S275" s="269"/>
      <c r="T275" s="275"/>
      <c r="U275" s="2"/>
      <c r="V275" s="2"/>
      <c r="W275" s="285" t="s">
        <v>836</v>
      </c>
      <c r="X275" s="269"/>
      <c r="Y275" s="269"/>
      <c r="Z275" s="269"/>
      <c r="AA275" s="269"/>
      <c r="AB275" s="281"/>
      <c r="AC275" s="280">
        <v>7.7444067E7</v>
      </c>
      <c r="AD275" s="269"/>
      <c r="AE275" s="269"/>
      <c r="AF275" s="281"/>
      <c r="AG275" s="289" t="s">
        <v>837</v>
      </c>
      <c r="AH275" s="287"/>
      <c r="AI275" s="287"/>
      <c r="AJ275" s="287"/>
      <c r="AK275" s="287"/>
      <c r="AL275" s="287"/>
      <c r="AM275" s="287"/>
      <c r="AN275" s="287"/>
      <c r="AO275" s="287"/>
      <c r="AP275" s="287"/>
      <c r="AQ275" s="288"/>
      <c r="AR275" s="2"/>
      <c r="AS275" s="2"/>
      <c r="AT275" s="2"/>
      <c r="AU275" s="2"/>
      <c r="AV275" s="2"/>
      <c r="AW275" s="2"/>
      <c r="AX275" s="2"/>
      <c r="AY275" s="2"/>
      <c r="AZ275" s="2"/>
      <c r="BA275" s="2"/>
      <c r="BB275" s="2"/>
      <c r="BC275" s="2"/>
      <c r="BD275" s="2"/>
      <c r="BE275" s="2"/>
      <c r="BF275" s="2"/>
      <c r="BG275" s="2"/>
      <c r="BH275" s="2"/>
      <c r="BI275" s="2"/>
      <c r="BJ275" s="2"/>
      <c r="BK275" s="2"/>
      <c r="BL275" s="2"/>
    </row>
    <row r="276" ht="18.75" hidden="1" customHeight="1">
      <c r="A276" s="2"/>
      <c r="B276" s="268" t="str">
        <f t="shared" si="98"/>
        <v>DT2 Bosses - Smoke Quartz</v>
      </c>
      <c r="C276" s="269"/>
      <c r="D276" s="269"/>
      <c r="E276" s="269"/>
      <c r="F276" s="269"/>
      <c r="G276" s="270"/>
      <c r="H276" s="271" t="s">
        <v>603</v>
      </c>
      <c r="I276" s="269"/>
      <c r="J276" s="270"/>
      <c r="K276" s="272">
        <f t="shared" si="4"/>
        <v>20</v>
      </c>
      <c r="L276" s="271">
        <f t="shared" si="99"/>
        <v>12</v>
      </c>
      <c r="M276" s="269"/>
      <c r="N276" s="270"/>
      <c r="O276" s="273">
        <f t="shared" si="100"/>
        <v>1</v>
      </c>
      <c r="P276" s="269"/>
      <c r="Q276" s="270"/>
      <c r="R276" s="274">
        <f t="shared" si="7"/>
        <v>1.666666667</v>
      </c>
      <c r="S276" s="269"/>
      <c r="T276" s="275"/>
      <c r="U276" s="2"/>
      <c r="V276" s="2"/>
      <c r="W276" s="285" t="s">
        <v>838</v>
      </c>
      <c r="X276" s="269"/>
      <c r="Y276" s="269"/>
      <c r="Z276" s="269"/>
      <c r="AA276" s="269"/>
      <c r="AB276" s="281"/>
      <c r="AC276" s="280">
        <v>3.6023207E7</v>
      </c>
      <c r="AD276" s="269"/>
      <c r="AE276" s="269"/>
      <c r="AF276" s="281"/>
      <c r="AG276" s="289" t="s">
        <v>839</v>
      </c>
      <c r="AH276" s="287"/>
      <c r="AI276" s="287"/>
      <c r="AJ276" s="287"/>
      <c r="AK276" s="287"/>
      <c r="AL276" s="287"/>
      <c r="AM276" s="287"/>
      <c r="AN276" s="287"/>
      <c r="AO276" s="287"/>
      <c r="AP276" s="287"/>
      <c r="AQ276" s="288"/>
      <c r="AR276" s="2"/>
      <c r="AS276" s="2"/>
      <c r="AT276" s="2"/>
      <c r="AU276" s="2"/>
      <c r="AV276" s="2"/>
      <c r="AW276" s="2"/>
      <c r="AX276" s="2"/>
      <c r="AY276" s="2"/>
      <c r="AZ276" s="2"/>
      <c r="BA276" s="2"/>
      <c r="BB276" s="2"/>
      <c r="BC276" s="2"/>
      <c r="BD276" s="2"/>
      <c r="BE276" s="2"/>
      <c r="BF276" s="2"/>
      <c r="BG276" s="2"/>
      <c r="BH276" s="2"/>
      <c r="BI276" s="2"/>
      <c r="BJ276" s="2"/>
      <c r="BK276" s="2"/>
      <c r="BL276" s="2"/>
    </row>
    <row r="277" ht="18.75" hidden="1" customHeight="1">
      <c r="A277" s="2"/>
      <c r="B277" s="268" t="str">
        <f t="shared" si="98"/>
        <v>DT2 Bosses - Bellator Vestige (+ 2x gold ring)</v>
      </c>
      <c r="C277" s="269"/>
      <c r="D277" s="269"/>
      <c r="E277" s="269"/>
      <c r="F277" s="269"/>
      <c r="G277" s="270"/>
      <c r="H277" s="271" t="s">
        <v>603</v>
      </c>
      <c r="I277" s="269"/>
      <c r="J277" s="270"/>
      <c r="K277" s="272">
        <f t="shared" si="4"/>
        <v>20</v>
      </c>
      <c r="L277" s="271">
        <f t="shared" si="99"/>
        <v>12</v>
      </c>
      <c r="M277" s="269"/>
      <c r="N277" s="270"/>
      <c r="O277" s="273">
        <f t="shared" si="100"/>
        <v>4</v>
      </c>
      <c r="P277" s="269"/>
      <c r="Q277" s="270"/>
      <c r="R277" s="274">
        <f t="shared" si="7"/>
        <v>6.666666667</v>
      </c>
      <c r="S277" s="269"/>
      <c r="T277" s="275"/>
      <c r="U277" s="2"/>
      <c r="V277" s="2"/>
      <c r="W277" s="285" t="s">
        <v>840</v>
      </c>
      <c r="X277" s="269"/>
      <c r="Y277" s="269"/>
      <c r="Z277" s="269"/>
      <c r="AA277" s="269"/>
      <c r="AB277" s="281"/>
      <c r="AC277" s="280">
        <v>3.0461507E7</v>
      </c>
      <c r="AD277" s="269"/>
      <c r="AE277" s="269"/>
      <c r="AF277" s="281"/>
      <c r="AG277" s="289" t="s">
        <v>841</v>
      </c>
      <c r="AH277" s="287"/>
      <c r="AI277" s="287"/>
      <c r="AJ277" s="287"/>
      <c r="AK277" s="287"/>
      <c r="AL277" s="287"/>
      <c r="AM277" s="287"/>
      <c r="AN277" s="287"/>
      <c r="AO277" s="287"/>
      <c r="AP277" s="287"/>
      <c r="AQ277" s="288"/>
      <c r="AR277" s="2"/>
      <c r="AS277" s="2"/>
      <c r="AT277" s="2"/>
      <c r="AU277" s="2"/>
      <c r="AV277" s="2"/>
      <c r="AW277" s="2"/>
      <c r="AX277" s="2"/>
      <c r="AY277" s="2"/>
      <c r="AZ277" s="2"/>
      <c r="BA277" s="2"/>
      <c r="BB277" s="2"/>
      <c r="BC277" s="2"/>
      <c r="BD277" s="2"/>
      <c r="BE277" s="2"/>
      <c r="BF277" s="2"/>
      <c r="BG277" s="2"/>
      <c r="BH277" s="2"/>
      <c r="BI277" s="2"/>
      <c r="BJ277" s="2"/>
      <c r="BK277" s="2"/>
      <c r="BL277" s="2"/>
    </row>
    <row r="278" ht="18.75" hidden="1" customHeight="1">
      <c r="A278" s="2"/>
      <c r="B278" s="268" t="str">
        <f t="shared" si="98"/>
        <v>DT2 Bosses - Siren's Staff</v>
      </c>
      <c r="C278" s="269"/>
      <c r="D278" s="269"/>
      <c r="E278" s="269"/>
      <c r="F278" s="269"/>
      <c r="G278" s="270"/>
      <c r="H278" s="271" t="s">
        <v>603</v>
      </c>
      <c r="I278" s="269"/>
      <c r="J278" s="270"/>
      <c r="K278" s="272">
        <f t="shared" si="4"/>
        <v>20</v>
      </c>
      <c r="L278" s="271">
        <f t="shared" si="99"/>
        <v>12</v>
      </c>
      <c r="M278" s="269"/>
      <c r="N278" s="270"/>
      <c r="O278" s="273">
        <f t="shared" si="100"/>
        <v>4</v>
      </c>
      <c r="P278" s="269"/>
      <c r="Q278" s="270"/>
      <c r="R278" s="274">
        <f t="shared" si="7"/>
        <v>6.666666667</v>
      </c>
      <c r="S278" s="269"/>
      <c r="T278" s="275"/>
      <c r="U278" s="2"/>
      <c r="V278" s="2"/>
      <c r="W278" s="285" t="s">
        <v>567</v>
      </c>
      <c r="X278" s="269"/>
      <c r="Y278" s="269"/>
      <c r="Z278" s="269"/>
      <c r="AA278" s="269"/>
      <c r="AB278" s="281"/>
      <c r="AC278" s="280">
        <v>1189474.0</v>
      </c>
      <c r="AD278" s="269"/>
      <c r="AE278" s="269"/>
      <c r="AF278" s="281"/>
      <c r="AG278" s="289" t="s">
        <v>842</v>
      </c>
      <c r="AH278" s="287"/>
      <c r="AI278" s="287"/>
      <c r="AJ278" s="287"/>
      <c r="AK278" s="287"/>
      <c r="AL278" s="287"/>
      <c r="AM278" s="287"/>
      <c r="AN278" s="287"/>
      <c r="AO278" s="287"/>
      <c r="AP278" s="287"/>
      <c r="AQ278" s="288"/>
      <c r="AR278" s="2"/>
      <c r="AS278" s="2"/>
      <c r="AT278" s="2"/>
      <c r="AU278" s="2"/>
      <c r="AV278" s="2"/>
      <c r="AW278" s="2"/>
      <c r="AX278" s="2"/>
      <c r="AY278" s="2"/>
      <c r="AZ278" s="2"/>
      <c r="BA278" s="2"/>
      <c r="BB278" s="2"/>
      <c r="BC278" s="2"/>
      <c r="BD278" s="2"/>
      <c r="BE278" s="2"/>
      <c r="BF278" s="2"/>
      <c r="BG278" s="2"/>
      <c r="BH278" s="2"/>
      <c r="BI278" s="2"/>
      <c r="BJ278" s="2"/>
      <c r="BK278" s="2"/>
      <c r="BL278" s="2"/>
    </row>
    <row r="279" ht="18.75" hidden="1" customHeight="1">
      <c r="A279" s="2"/>
      <c r="B279" s="268" t="str">
        <f t="shared" si="98"/>
        <v>DT2 Bosses - Shadow Quartz</v>
      </c>
      <c r="C279" s="269"/>
      <c r="D279" s="269"/>
      <c r="E279" s="269"/>
      <c r="F279" s="269"/>
      <c r="G279" s="270"/>
      <c r="H279" s="271" t="s">
        <v>603</v>
      </c>
      <c r="I279" s="269"/>
      <c r="J279" s="270"/>
      <c r="K279" s="272">
        <f t="shared" si="4"/>
        <v>20</v>
      </c>
      <c r="L279" s="271">
        <f t="shared" si="99"/>
        <v>12</v>
      </c>
      <c r="M279" s="269"/>
      <c r="N279" s="270"/>
      <c r="O279" s="273">
        <f t="shared" si="100"/>
        <v>1</v>
      </c>
      <c r="P279" s="269"/>
      <c r="Q279" s="270"/>
      <c r="R279" s="274">
        <f t="shared" si="7"/>
        <v>1.666666667</v>
      </c>
      <c r="S279" s="269"/>
      <c r="T279" s="275"/>
      <c r="U279" s="2"/>
      <c r="V279" s="2"/>
      <c r="W279" s="285" t="s">
        <v>444</v>
      </c>
      <c r="X279" s="269"/>
      <c r="Y279" s="269"/>
      <c r="Z279" s="269"/>
      <c r="AA279" s="269"/>
      <c r="AB279" s="281"/>
      <c r="AC279" s="280">
        <v>1.2726355E7</v>
      </c>
      <c r="AD279" s="269"/>
      <c r="AE279" s="269"/>
      <c r="AF279" s="281"/>
      <c r="AG279" s="289" t="s">
        <v>131</v>
      </c>
      <c r="AH279" s="287"/>
      <c r="AI279" s="287"/>
      <c r="AJ279" s="287"/>
      <c r="AK279" s="287"/>
      <c r="AL279" s="287"/>
      <c r="AM279" s="287"/>
      <c r="AN279" s="287"/>
      <c r="AO279" s="287"/>
      <c r="AP279" s="287"/>
      <c r="AQ279" s="288"/>
      <c r="AR279" s="2"/>
      <c r="AS279" s="2"/>
      <c r="AT279" s="2"/>
      <c r="AU279" s="2"/>
      <c r="AV279" s="2"/>
      <c r="AW279" s="2"/>
      <c r="AX279" s="2"/>
      <c r="AY279" s="2"/>
      <c r="AZ279" s="2"/>
      <c r="BA279" s="2"/>
      <c r="BB279" s="2"/>
      <c r="BC279" s="2"/>
      <c r="BD279" s="2"/>
      <c r="BE279" s="2"/>
      <c r="BF279" s="2"/>
      <c r="BG279" s="2"/>
      <c r="BH279" s="2"/>
      <c r="BI279" s="2"/>
      <c r="BJ279" s="2"/>
      <c r="BK279" s="2"/>
      <c r="BL279" s="2"/>
    </row>
    <row r="280" ht="18.75" hidden="1" customHeight="1">
      <c r="A280" s="2"/>
      <c r="B280" s="268" t="str">
        <f t="shared" si="98"/>
        <v>DT2 Bosses - Pet</v>
      </c>
      <c r="C280" s="269"/>
      <c r="D280" s="269"/>
      <c r="E280" s="269"/>
      <c r="F280" s="269"/>
      <c r="G280" s="270"/>
      <c r="H280" s="271" t="s">
        <v>603</v>
      </c>
      <c r="I280" s="269"/>
      <c r="J280" s="270"/>
      <c r="K280" s="272">
        <f t="shared" si="4"/>
        <v>20</v>
      </c>
      <c r="L280" s="271">
        <f t="shared" si="99"/>
        <v>12</v>
      </c>
      <c r="M280" s="269"/>
      <c r="N280" s="270"/>
      <c r="O280" s="273">
        <f t="shared" si="100"/>
        <v>4</v>
      </c>
      <c r="P280" s="269"/>
      <c r="Q280" s="270"/>
      <c r="R280" s="274">
        <f t="shared" si="7"/>
        <v>6.666666667</v>
      </c>
      <c r="S280" s="269"/>
      <c r="T280" s="275"/>
      <c r="U280" s="2"/>
      <c r="V280" s="2"/>
      <c r="W280" s="285" t="s">
        <v>403</v>
      </c>
      <c r="X280" s="269"/>
      <c r="Y280" s="269"/>
      <c r="Z280" s="269"/>
      <c r="AA280" s="269"/>
      <c r="AB280" s="281"/>
      <c r="AC280" s="280">
        <v>3983214.0</v>
      </c>
      <c r="AD280" s="269"/>
      <c r="AE280" s="269"/>
      <c r="AF280" s="281"/>
      <c r="AG280" s="289" t="s">
        <v>225</v>
      </c>
      <c r="AH280" s="287"/>
      <c r="AI280" s="287"/>
      <c r="AJ280" s="287"/>
      <c r="AK280" s="287"/>
      <c r="AL280" s="287"/>
      <c r="AM280" s="287"/>
      <c r="AN280" s="287"/>
      <c r="AO280" s="287"/>
      <c r="AP280" s="287"/>
      <c r="AQ280" s="288"/>
      <c r="AR280" s="2"/>
      <c r="AS280" s="2"/>
      <c r="AT280" s="2"/>
      <c r="AU280" s="2"/>
      <c r="AV280" s="2"/>
      <c r="AW280" s="2"/>
      <c r="AX280" s="2"/>
      <c r="AY280" s="2"/>
      <c r="AZ280" s="2"/>
      <c r="BA280" s="2"/>
      <c r="BB280" s="2"/>
      <c r="BC280" s="2"/>
      <c r="BD280" s="2"/>
      <c r="BE280" s="2"/>
      <c r="BF280" s="2"/>
      <c r="BG280" s="2"/>
      <c r="BH280" s="2"/>
      <c r="BI280" s="2"/>
      <c r="BJ280" s="2"/>
      <c r="BK280" s="2"/>
      <c r="BL280" s="2"/>
    </row>
    <row r="281" ht="18.75" hidden="1" customHeight="1">
      <c r="A281" s="2"/>
      <c r="B281" s="268" t="str">
        <f t="shared" ref="B281:B288" si="101">$AG$42 &amp; " - " &amp; AG44</f>
        <v>Wilderness Trio - Dragon Pickaxe</v>
      </c>
      <c r="C281" s="269"/>
      <c r="D281" s="269"/>
      <c r="E281" s="269"/>
      <c r="F281" s="269"/>
      <c r="G281" s="270"/>
      <c r="H281" s="271" t="s">
        <v>603</v>
      </c>
      <c r="I281" s="269"/>
      <c r="J281" s="270"/>
      <c r="K281" s="272">
        <f t="shared" si="4"/>
        <v>20</v>
      </c>
      <c r="L281" s="271">
        <f t="shared" ref="L281:L288" si="102">$AP$42</f>
        <v>10</v>
      </c>
      <c r="M281" s="269"/>
      <c r="N281" s="270"/>
      <c r="O281" s="273">
        <f t="shared" ref="O281:O288" si="103">AO44</f>
        <v>1</v>
      </c>
      <c r="P281" s="269"/>
      <c r="Q281" s="270"/>
      <c r="R281" s="274">
        <f t="shared" si="7"/>
        <v>2</v>
      </c>
      <c r="S281" s="269"/>
      <c r="T281" s="275"/>
      <c r="U281" s="2"/>
      <c r="V281" s="2"/>
      <c r="W281" s="285" t="s">
        <v>408</v>
      </c>
      <c r="X281" s="269"/>
      <c r="Y281" s="269"/>
      <c r="Z281" s="269"/>
      <c r="AA281" s="269"/>
      <c r="AB281" s="281"/>
      <c r="AC281" s="280">
        <v>3649467.0</v>
      </c>
      <c r="AD281" s="269"/>
      <c r="AE281" s="269"/>
      <c r="AF281" s="281"/>
      <c r="AG281" s="289" t="s">
        <v>122</v>
      </c>
      <c r="AH281" s="287"/>
      <c r="AI281" s="287"/>
      <c r="AJ281" s="287"/>
      <c r="AK281" s="287"/>
      <c r="AL281" s="287"/>
      <c r="AM281" s="287"/>
      <c r="AN281" s="287"/>
      <c r="AO281" s="287"/>
      <c r="AP281" s="287"/>
      <c r="AQ281" s="288"/>
      <c r="AR281" s="2"/>
      <c r="AS281" s="2"/>
      <c r="AT281" s="2"/>
      <c r="AU281" s="2"/>
      <c r="AV281" s="2"/>
      <c r="AW281" s="2"/>
      <c r="AX281" s="2"/>
      <c r="AY281" s="2"/>
      <c r="AZ281" s="2"/>
      <c r="BA281" s="2"/>
      <c r="BB281" s="2"/>
      <c r="BC281" s="2"/>
      <c r="BD281" s="2"/>
      <c r="BE281" s="2"/>
      <c r="BF281" s="2"/>
      <c r="BG281" s="2"/>
      <c r="BH281" s="2"/>
      <c r="BI281" s="2"/>
      <c r="BJ281" s="2"/>
      <c r="BK281" s="2"/>
      <c r="BL281" s="2"/>
    </row>
    <row r="282" ht="18.75" hidden="1" customHeight="1">
      <c r="A282" s="2"/>
      <c r="B282" s="268" t="str">
        <f t="shared" si="101"/>
        <v>Wilderness Trio - Ring (any)</v>
      </c>
      <c r="C282" s="269"/>
      <c r="D282" s="269"/>
      <c r="E282" s="269"/>
      <c r="F282" s="269"/>
      <c r="G282" s="270"/>
      <c r="H282" s="271" t="s">
        <v>603</v>
      </c>
      <c r="I282" s="269"/>
      <c r="J282" s="270"/>
      <c r="K282" s="272">
        <f t="shared" si="4"/>
        <v>20</v>
      </c>
      <c r="L282" s="271">
        <f t="shared" si="102"/>
        <v>10</v>
      </c>
      <c r="M282" s="269"/>
      <c r="N282" s="270"/>
      <c r="O282" s="273">
        <f t="shared" si="103"/>
        <v>2</v>
      </c>
      <c r="P282" s="269"/>
      <c r="Q282" s="270"/>
      <c r="R282" s="274">
        <f t="shared" si="7"/>
        <v>4</v>
      </c>
      <c r="S282" s="269"/>
      <c r="T282" s="275"/>
      <c r="U282" s="2"/>
      <c r="V282" s="2"/>
      <c r="W282" s="285" t="s">
        <v>339</v>
      </c>
      <c r="X282" s="269"/>
      <c r="Y282" s="269"/>
      <c r="Z282" s="269"/>
      <c r="AA282" s="269"/>
      <c r="AB282" s="281"/>
      <c r="AC282" s="280">
        <v>2018102.0</v>
      </c>
      <c r="AD282" s="269"/>
      <c r="AE282" s="269"/>
      <c r="AF282" s="281"/>
      <c r="AG282" s="289" t="s">
        <v>843</v>
      </c>
      <c r="AH282" s="287"/>
      <c r="AI282" s="287"/>
      <c r="AJ282" s="287"/>
      <c r="AK282" s="287"/>
      <c r="AL282" s="287"/>
      <c r="AM282" s="287"/>
      <c r="AN282" s="287"/>
      <c r="AO282" s="287"/>
      <c r="AP282" s="287"/>
      <c r="AQ282" s="288"/>
      <c r="AR282" s="2"/>
      <c r="AS282" s="2"/>
      <c r="AT282" s="2"/>
      <c r="AU282" s="2"/>
      <c r="AV282" s="2"/>
      <c r="AW282" s="2"/>
      <c r="AX282" s="2"/>
      <c r="AY282" s="2"/>
      <c r="AZ282" s="2"/>
      <c r="BA282" s="2"/>
      <c r="BB282" s="2"/>
      <c r="BC282" s="2"/>
      <c r="BD282" s="2"/>
      <c r="BE282" s="2"/>
      <c r="BF282" s="2"/>
      <c r="BG282" s="2"/>
      <c r="BH282" s="2"/>
      <c r="BI282" s="2"/>
      <c r="BJ282" s="2"/>
      <c r="BK282" s="2"/>
      <c r="BL282" s="2"/>
    </row>
    <row r="283" ht="18.75" hidden="1" customHeight="1">
      <c r="A283" s="2"/>
      <c r="B283" s="268" t="str">
        <f t="shared" si="101"/>
        <v>Wilderness Trio - Voidwaker Piece (any)</v>
      </c>
      <c r="C283" s="269"/>
      <c r="D283" s="269"/>
      <c r="E283" s="269"/>
      <c r="F283" s="269"/>
      <c r="G283" s="270"/>
      <c r="H283" s="271" t="s">
        <v>603</v>
      </c>
      <c r="I283" s="269"/>
      <c r="J283" s="270"/>
      <c r="K283" s="272">
        <f t="shared" si="4"/>
        <v>20</v>
      </c>
      <c r="L283" s="271">
        <f t="shared" si="102"/>
        <v>10</v>
      </c>
      <c r="M283" s="269"/>
      <c r="N283" s="270"/>
      <c r="O283" s="273">
        <f t="shared" si="103"/>
        <v>1</v>
      </c>
      <c r="P283" s="269"/>
      <c r="Q283" s="270"/>
      <c r="R283" s="274">
        <f t="shared" si="7"/>
        <v>2</v>
      </c>
      <c r="S283" s="269"/>
      <c r="T283" s="275"/>
      <c r="U283" s="2"/>
      <c r="V283" s="2"/>
      <c r="W283" s="285" t="s">
        <v>331</v>
      </c>
      <c r="X283" s="269"/>
      <c r="Y283" s="269"/>
      <c r="Z283" s="269"/>
      <c r="AA283" s="269"/>
      <c r="AB283" s="281"/>
      <c r="AC283" s="280">
        <v>668816.0</v>
      </c>
      <c r="AD283" s="269"/>
      <c r="AE283" s="269"/>
      <c r="AF283" s="281"/>
      <c r="AG283" s="289" t="s">
        <v>208</v>
      </c>
      <c r="AH283" s="287"/>
      <c r="AI283" s="287"/>
      <c r="AJ283" s="287"/>
      <c r="AK283" s="287"/>
      <c r="AL283" s="287"/>
      <c r="AM283" s="287"/>
      <c r="AN283" s="287"/>
      <c r="AO283" s="287"/>
      <c r="AP283" s="287"/>
      <c r="AQ283" s="288"/>
      <c r="AR283" s="2"/>
      <c r="AS283" s="2"/>
      <c r="AT283" s="2"/>
      <c r="AU283" s="2"/>
      <c r="AV283" s="2"/>
      <c r="AW283" s="2"/>
      <c r="AX283" s="2"/>
      <c r="AY283" s="2"/>
      <c r="AZ283" s="2"/>
      <c r="BA283" s="2"/>
      <c r="BB283" s="2"/>
      <c r="BC283" s="2"/>
      <c r="BD283" s="2"/>
      <c r="BE283" s="2"/>
      <c r="BF283" s="2"/>
      <c r="BG283" s="2"/>
      <c r="BH283" s="2"/>
      <c r="BI283" s="2"/>
      <c r="BJ283" s="2"/>
      <c r="BK283" s="2"/>
      <c r="BL283" s="2"/>
    </row>
    <row r="284" ht="18.75" hidden="1" customHeight="1">
      <c r="A284" s="2"/>
      <c r="B284" s="268" t="str">
        <f t="shared" si="101"/>
        <v>Wilderness Trio - Claws of Callisto</v>
      </c>
      <c r="C284" s="269"/>
      <c r="D284" s="269"/>
      <c r="E284" s="269"/>
      <c r="F284" s="269"/>
      <c r="G284" s="270"/>
      <c r="H284" s="271" t="s">
        <v>603</v>
      </c>
      <c r="I284" s="269"/>
      <c r="J284" s="270"/>
      <c r="K284" s="272">
        <f t="shared" si="4"/>
        <v>20</v>
      </c>
      <c r="L284" s="271">
        <f t="shared" si="102"/>
        <v>10</v>
      </c>
      <c r="M284" s="269"/>
      <c r="N284" s="270"/>
      <c r="O284" s="273">
        <f t="shared" si="103"/>
        <v>1</v>
      </c>
      <c r="P284" s="269"/>
      <c r="Q284" s="270"/>
      <c r="R284" s="274">
        <f t="shared" si="7"/>
        <v>2</v>
      </c>
      <c r="S284" s="269"/>
      <c r="T284" s="275"/>
      <c r="U284" s="2"/>
      <c r="V284" s="2"/>
      <c r="W284" s="285" t="s">
        <v>844</v>
      </c>
      <c r="X284" s="269"/>
      <c r="Y284" s="269"/>
      <c r="Z284" s="269"/>
      <c r="AA284" s="269"/>
      <c r="AB284" s="281"/>
      <c r="AC284" s="280">
        <v>72725.0</v>
      </c>
      <c r="AD284" s="269"/>
      <c r="AE284" s="269"/>
      <c r="AF284" s="281"/>
      <c r="AG284" s="289" t="s">
        <v>845</v>
      </c>
      <c r="AH284" s="287"/>
      <c r="AI284" s="287"/>
      <c r="AJ284" s="287"/>
      <c r="AK284" s="287"/>
      <c r="AL284" s="287"/>
      <c r="AM284" s="287"/>
      <c r="AN284" s="287"/>
      <c r="AO284" s="287"/>
      <c r="AP284" s="287"/>
      <c r="AQ284" s="288"/>
      <c r="AR284" s="2"/>
      <c r="AS284" s="2"/>
      <c r="AT284" s="2"/>
      <c r="AU284" s="2"/>
      <c r="AV284" s="2"/>
      <c r="AW284" s="2"/>
      <c r="AX284" s="2"/>
      <c r="AY284" s="2"/>
      <c r="AZ284" s="2"/>
      <c r="BA284" s="2"/>
      <c r="BB284" s="2"/>
      <c r="BC284" s="2"/>
      <c r="BD284" s="2"/>
      <c r="BE284" s="2"/>
      <c r="BF284" s="2"/>
      <c r="BG284" s="2"/>
      <c r="BH284" s="2"/>
      <c r="BI284" s="2"/>
      <c r="BJ284" s="2"/>
      <c r="BK284" s="2"/>
      <c r="BL284" s="2"/>
    </row>
    <row r="285" ht="18.75" hidden="1" customHeight="1">
      <c r="A285" s="2"/>
      <c r="B285" s="268" t="str">
        <f t="shared" si="101"/>
        <v>Wilderness Trio - Skull of Vet'ion</v>
      </c>
      <c r="C285" s="269"/>
      <c r="D285" s="269"/>
      <c r="E285" s="269"/>
      <c r="F285" s="269"/>
      <c r="G285" s="270"/>
      <c r="H285" s="271" t="s">
        <v>603</v>
      </c>
      <c r="I285" s="269"/>
      <c r="J285" s="270"/>
      <c r="K285" s="272">
        <f t="shared" si="4"/>
        <v>20</v>
      </c>
      <c r="L285" s="271">
        <f t="shared" si="102"/>
        <v>10</v>
      </c>
      <c r="M285" s="269"/>
      <c r="N285" s="270"/>
      <c r="O285" s="273">
        <f t="shared" si="103"/>
        <v>1</v>
      </c>
      <c r="P285" s="269"/>
      <c r="Q285" s="270"/>
      <c r="R285" s="274">
        <f t="shared" si="7"/>
        <v>2</v>
      </c>
      <c r="S285" s="269"/>
      <c r="T285" s="275"/>
      <c r="U285" s="2"/>
      <c r="V285" s="2"/>
      <c r="W285" s="285" t="s">
        <v>298</v>
      </c>
      <c r="X285" s="269"/>
      <c r="Y285" s="269"/>
      <c r="Z285" s="269"/>
      <c r="AA285" s="269"/>
      <c r="AB285" s="281"/>
      <c r="AC285" s="280">
        <v>1.255328185E9</v>
      </c>
      <c r="AD285" s="269"/>
      <c r="AE285" s="269"/>
      <c r="AF285" s="281"/>
      <c r="AG285" s="289" t="s">
        <v>846</v>
      </c>
      <c r="AH285" s="287"/>
      <c r="AI285" s="287"/>
      <c r="AJ285" s="287"/>
      <c r="AK285" s="287"/>
      <c r="AL285" s="287"/>
      <c r="AM285" s="287"/>
      <c r="AN285" s="287"/>
      <c r="AO285" s="287"/>
      <c r="AP285" s="287"/>
      <c r="AQ285" s="288"/>
      <c r="AR285" s="2"/>
      <c r="AS285" s="2"/>
      <c r="AT285" s="2"/>
      <c r="AU285" s="2"/>
      <c r="AV285" s="2"/>
      <c r="AW285" s="2"/>
      <c r="AX285" s="2"/>
      <c r="AY285" s="2"/>
      <c r="AZ285" s="2"/>
      <c r="BA285" s="2"/>
      <c r="BB285" s="2"/>
      <c r="BC285" s="2"/>
      <c r="BD285" s="2"/>
      <c r="BE285" s="2"/>
      <c r="BF285" s="2"/>
      <c r="BG285" s="2"/>
      <c r="BH285" s="2"/>
      <c r="BI285" s="2"/>
      <c r="BJ285" s="2"/>
      <c r="BK285" s="2"/>
      <c r="BL285" s="2"/>
    </row>
    <row r="286" ht="18.75" hidden="1" customHeight="1">
      <c r="A286" s="2"/>
      <c r="B286" s="268" t="str">
        <f t="shared" si="101"/>
        <v>Wilderness Trio - Fangs of Venenatis</v>
      </c>
      <c r="C286" s="269"/>
      <c r="D286" s="269"/>
      <c r="E286" s="269"/>
      <c r="F286" s="269"/>
      <c r="G286" s="270"/>
      <c r="H286" s="271" t="s">
        <v>603</v>
      </c>
      <c r="I286" s="269"/>
      <c r="J286" s="270"/>
      <c r="K286" s="272">
        <f t="shared" si="4"/>
        <v>20</v>
      </c>
      <c r="L286" s="271">
        <f t="shared" si="102"/>
        <v>10</v>
      </c>
      <c r="M286" s="269"/>
      <c r="N286" s="270"/>
      <c r="O286" s="273">
        <f t="shared" si="103"/>
        <v>1</v>
      </c>
      <c r="P286" s="269"/>
      <c r="Q286" s="270"/>
      <c r="R286" s="274">
        <f t="shared" si="7"/>
        <v>2</v>
      </c>
      <c r="S286" s="269"/>
      <c r="T286" s="275"/>
      <c r="U286" s="2"/>
      <c r="V286" s="2"/>
      <c r="W286" s="285" t="s">
        <v>276</v>
      </c>
      <c r="X286" s="269"/>
      <c r="Y286" s="269"/>
      <c r="Z286" s="269"/>
      <c r="AA286" s="269"/>
      <c r="AB286" s="281"/>
      <c r="AC286" s="280">
        <v>3.0863619E7</v>
      </c>
      <c r="AD286" s="269"/>
      <c r="AE286" s="269"/>
      <c r="AF286" s="281"/>
      <c r="AG286" s="289" t="s">
        <v>847</v>
      </c>
      <c r="AH286" s="287"/>
      <c r="AI286" s="287"/>
      <c r="AJ286" s="287"/>
      <c r="AK286" s="287"/>
      <c r="AL286" s="287"/>
      <c r="AM286" s="287"/>
      <c r="AN286" s="287"/>
      <c r="AO286" s="287"/>
      <c r="AP286" s="287"/>
      <c r="AQ286" s="288"/>
      <c r="AR286" s="2"/>
      <c r="AS286" s="2"/>
      <c r="AT286" s="2"/>
      <c r="AU286" s="2"/>
      <c r="AV286" s="2"/>
      <c r="AW286" s="2"/>
      <c r="AX286" s="2"/>
      <c r="AY286" s="2"/>
      <c r="AZ286" s="2"/>
      <c r="BA286" s="2"/>
      <c r="BB286" s="2"/>
      <c r="BC286" s="2"/>
      <c r="BD286" s="2"/>
      <c r="BE286" s="2"/>
      <c r="BF286" s="2"/>
      <c r="BG286" s="2"/>
      <c r="BH286" s="2"/>
      <c r="BI286" s="2"/>
      <c r="BJ286" s="2"/>
      <c r="BK286" s="2"/>
      <c r="BL286" s="2"/>
    </row>
    <row r="287" ht="18.75" hidden="1" customHeight="1">
      <c r="A287" s="2"/>
      <c r="B287" s="268" t="str">
        <f t="shared" si="101"/>
        <v>Wilderness Trio - Dragon 2h Sword</v>
      </c>
      <c r="C287" s="269"/>
      <c r="D287" s="269"/>
      <c r="E287" s="269"/>
      <c r="F287" s="269"/>
      <c r="G287" s="270"/>
      <c r="H287" s="271" t="s">
        <v>603</v>
      </c>
      <c r="I287" s="269"/>
      <c r="J287" s="270"/>
      <c r="K287" s="272">
        <f t="shared" si="4"/>
        <v>20</v>
      </c>
      <c r="L287" s="271">
        <f t="shared" si="102"/>
        <v>10</v>
      </c>
      <c r="M287" s="269"/>
      <c r="N287" s="270"/>
      <c r="O287" s="273">
        <f t="shared" si="103"/>
        <v>1</v>
      </c>
      <c r="P287" s="269"/>
      <c r="Q287" s="270"/>
      <c r="R287" s="274">
        <f t="shared" si="7"/>
        <v>2</v>
      </c>
      <c r="S287" s="269"/>
      <c r="T287" s="275"/>
      <c r="U287" s="2"/>
      <c r="V287" s="2"/>
      <c r="W287" s="285" t="s">
        <v>283</v>
      </c>
      <c r="X287" s="269"/>
      <c r="Y287" s="269"/>
      <c r="Z287" s="269"/>
      <c r="AA287" s="269"/>
      <c r="AB287" s="281"/>
      <c r="AC287" s="280">
        <v>2.3385048E7</v>
      </c>
      <c r="AD287" s="269"/>
      <c r="AE287" s="269"/>
      <c r="AF287" s="281"/>
      <c r="AG287" s="289" t="s">
        <v>848</v>
      </c>
      <c r="AH287" s="287"/>
      <c r="AI287" s="287"/>
      <c r="AJ287" s="287"/>
      <c r="AK287" s="287"/>
      <c r="AL287" s="287"/>
      <c r="AM287" s="287"/>
      <c r="AN287" s="287"/>
      <c r="AO287" s="287"/>
      <c r="AP287" s="287"/>
      <c r="AQ287" s="288"/>
      <c r="AR287" s="2"/>
      <c r="AS287" s="2"/>
      <c r="AT287" s="2"/>
      <c r="AU287" s="2"/>
      <c r="AV287" s="2"/>
      <c r="AW287" s="2"/>
      <c r="AX287" s="2"/>
      <c r="AY287" s="2"/>
      <c r="AZ287" s="2"/>
      <c r="BA287" s="2"/>
      <c r="BB287" s="2"/>
      <c r="BC287" s="2"/>
      <c r="BD287" s="2"/>
      <c r="BE287" s="2"/>
      <c r="BF287" s="2"/>
      <c r="BG287" s="2"/>
      <c r="BH287" s="2"/>
      <c r="BI287" s="2"/>
      <c r="BJ287" s="2"/>
      <c r="BK287" s="2"/>
      <c r="BL287" s="2"/>
    </row>
    <row r="288" ht="18.75" hidden="1" customHeight="1">
      <c r="A288" s="2"/>
      <c r="B288" s="268" t="str">
        <f t="shared" si="101"/>
        <v>Wilderness Trio - Pet</v>
      </c>
      <c r="C288" s="269"/>
      <c r="D288" s="269"/>
      <c r="E288" s="269"/>
      <c r="F288" s="269"/>
      <c r="G288" s="270"/>
      <c r="H288" s="271" t="s">
        <v>603</v>
      </c>
      <c r="I288" s="269"/>
      <c r="J288" s="270"/>
      <c r="K288" s="272">
        <f t="shared" si="4"/>
        <v>20</v>
      </c>
      <c r="L288" s="271">
        <f t="shared" si="102"/>
        <v>10</v>
      </c>
      <c r="M288" s="269"/>
      <c r="N288" s="270"/>
      <c r="O288" s="273">
        <f t="shared" si="103"/>
        <v>1</v>
      </c>
      <c r="P288" s="269"/>
      <c r="Q288" s="270"/>
      <c r="R288" s="274">
        <f t="shared" si="7"/>
        <v>2</v>
      </c>
      <c r="S288" s="269"/>
      <c r="T288" s="275"/>
      <c r="U288" s="2"/>
      <c r="V288" s="2"/>
      <c r="W288" s="285" t="s">
        <v>288</v>
      </c>
      <c r="X288" s="269"/>
      <c r="Y288" s="269"/>
      <c r="Z288" s="269"/>
      <c r="AA288" s="269"/>
      <c r="AB288" s="281"/>
      <c r="AC288" s="280">
        <v>1.7740096E7</v>
      </c>
      <c r="AD288" s="269"/>
      <c r="AE288" s="269"/>
      <c r="AF288" s="281"/>
      <c r="AG288" s="289" t="s">
        <v>849</v>
      </c>
      <c r="AH288" s="287"/>
      <c r="AI288" s="287"/>
      <c r="AJ288" s="287"/>
      <c r="AK288" s="287"/>
      <c r="AL288" s="287"/>
      <c r="AM288" s="287"/>
      <c r="AN288" s="287"/>
      <c r="AO288" s="287"/>
      <c r="AP288" s="287"/>
      <c r="AQ288" s="288"/>
      <c r="AR288" s="2"/>
      <c r="AS288" s="2"/>
      <c r="AT288" s="2"/>
      <c r="AU288" s="2"/>
      <c r="AV288" s="2"/>
      <c r="AW288" s="2"/>
      <c r="AX288" s="2"/>
      <c r="AY288" s="2"/>
      <c r="AZ288" s="2"/>
      <c r="BA288" s="2"/>
      <c r="BB288" s="2"/>
      <c r="BC288" s="2"/>
      <c r="BD288" s="2"/>
      <c r="BE288" s="2"/>
      <c r="BF288" s="2"/>
      <c r="BG288" s="2"/>
      <c r="BH288" s="2"/>
      <c r="BI288" s="2"/>
      <c r="BJ288" s="2"/>
      <c r="BK288" s="2"/>
      <c r="BL288" s="2"/>
    </row>
    <row r="289" ht="18.75" hidden="1" customHeight="1">
      <c r="A289" s="2"/>
      <c r="B289" s="268" t="str">
        <f t="shared" ref="B289:B293" si="104">$AQ$58 &amp; " - " &amp; AQ59</f>
        <v>Dagannoth Kings - Berserker Ring</v>
      </c>
      <c r="C289" s="269"/>
      <c r="D289" s="269"/>
      <c r="E289" s="269"/>
      <c r="F289" s="269"/>
      <c r="G289" s="270"/>
      <c r="H289" s="271" t="s">
        <v>589</v>
      </c>
      <c r="I289" s="269"/>
      <c r="J289" s="270"/>
      <c r="K289" s="272">
        <f t="shared" si="4"/>
        <v>10</v>
      </c>
      <c r="L289" s="271">
        <f t="shared" ref="L289:L293" si="105">$AZ$58</f>
        <v>15</v>
      </c>
      <c r="M289" s="269"/>
      <c r="N289" s="270"/>
      <c r="O289" s="273">
        <f t="shared" ref="O289:O293" si="106">AY59</f>
        <v>3</v>
      </c>
      <c r="P289" s="269"/>
      <c r="Q289" s="270"/>
      <c r="R289" s="274">
        <f t="shared" si="7"/>
        <v>2</v>
      </c>
      <c r="S289" s="269"/>
      <c r="T289" s="275"/>
      <c r="U289" s="2"/>
      <c r="V289" s="2"/>
      <c r="W289" s="285" t="s">
        <v>850</v>
      </c>
      <c r="X289" s="269"/>
      <c r="Y289" s="269"/>
      <c r="Z289" s="269"/>
      <c r="AA289" s="269"/>
      <c r="AB289" s="281"/>
      <c r="AC289" s="280">
        <v>1.0719018E7</v>
      </c>
      <c r="AD289" s="269"/>
      <c r="AE289" s="269"/>
      <c r="AF289" s="281"/>
      <c r="AG289" s="289" t="s">
        <v>851</v>
      </c>
      <c r="AH289" s="287"/>
      <c r="AI289" s="287"/>
      <c r="AJ289" s="287"/>
      <c r="AK289" s="287"/>
      <c r="AL289" s="287"/>
      <c r="AM289" s="287"/>
      <c r="AN289" s="287"/>
      <c r="AO289" s="287"/>
      <c r="AP289" s="287"/>
      <c r="AQ289" s="288"/>
      <c r="AR289" s="2"/>
      <c r="AS289" s="2"/>
      <c r="AT289" s="2"/>
      <c r="AU289" s="2"/>
      <c r="AV289" s="2"/>
      <c r="AW289" s="2"/>
      <c r="AX289" s="2"/>
      <c r="AY289" s="2"/>
      <c r="AZ289" s="2"/>
      <c r="BA289" s="2"/>
      <c r="BB289" s="2"/>
      <c r="BC289" s="2"/>
      <c r="BD289" s="2"/>
      <c r="BE289" s="2"/>
      <c r="BF289" s="2"/>
      <c r="BG289" s="2"/>
      <c r="BH289" s="2"/>
      <c r="BI289" s="2"/>
      <c r="BJ289" s="2"/>
      <c r="BK289" s="2"/>
      <c r="BL289" s="2"/>
    </row>
    <row r="290" ht="18.75" hidden="1" customHeight="1">
      <c r="A290" s="2"/>
      <c r="B290" s="268" t="str">
        <f t="shared" si="104"/>
        <v>Dagannoth Kings - Rings (other)</v>
      </c>
      <c r="C290" s="269"/>
      <c r="D290" s="269"/>
      <c r="E290" s="269"/>
      <c r="F290" s="269"/>
      <c r="G290" s="270"/>
      <c r="H290" s="271" t="s">
        <v>589</v>
      </c>
      <c r="I290" s="269"/>
      <c r="J290" s="270"/>
      <c r="K290" s="272">
        <f t="shared" si="4"/>
        <v>10</v>
      </c>
      <c r="L290" s="271">
        <f t="shared" si="105"/>
        <v>15</v>
      </c>
      <c r="M290" s="269"/>
      <c r="N290" s="270"/>
      <c r="O290" s="273">
        <f t="shared" si="106"/>
        <v>2</v>
      </c>
      <c r="P290" s="269"/>
      <c r="Q290" s="270"/>
      <c r="R290" s="274">
        <f t="shared" si="7"/>
        <v>1.333333333</v>
      </c>
      <c r="S290" s="269"/>
      <c r="T290" s="275"/>
      <c r="U290" s="2"/>
      <c r="V290" s="2"/>
      <c r="W290" s="285" t="s">
        <v>852</v>
      </c>
      <c r="X290" s="269"/>
      <c r="Y290" s="269"/>
      <c r="Z290" s="269"/>
      <c r="AA290" s="269"/>
      <c r="AB290" s="281"/>
      <c r="AC290" s="280">
        <v>1.0088853E7</v>
      </c>
      <c r="AD290" s="269"/>
      <c r="AE290" s="269"/>
      <c r="AF290" s="281"/>
      <c r="AG290" s="289" t="s">
        <v>853</v>
      </c>
      <c r="AH290" s="287"/>
      <c r="AI290" s="287"/>
      <c r="AJ290" s="287"/>
      <c r="AK290" s="287"/>
      <c r="AL290" s="287"/>
      <c r="AM290" s="287"/>
      <c r="AN290" s="287"/>
      <c r="AO290" s="287"/>
      <c r="AP290" s="287"/>
      <c r="AQ290" s="288"/>
      <c r="AR290" s="2"/>
      <c r="AS290" s="2"/>
      <c r="AT290" s="2"/>
      <c r="AU290" s="2"/>
      <c r="AV290" s="2"/>
      <c r="AW290" s="2"/>
      <c r="AX290" s="2"/>
      <c r="AY290" s="2"/>
      <c r="AZ290" s="2"/>
      <c r="BA290" s="2"/>
      <c r="BB290" s="2"/>
      <c r="BC290" s="2"/>
      <c r="BD290" s="2"/>
      <c r="BE290" s="2"/>
      <c r="BF290" s="2"/>
      <c r="BG290" s="2"/>
      <c r="BH290" s="2"/>
      <c r="BI290" s="2"/>
      <c r="BJ290" s="2"/>
      <c r="BK290" s="2"/>
      <c r="BL290" s="2"/>
    </row>
    <row r="291" ht="18.75" hidden="1" customHeight="1">
      <c r="A291" s="2"/>
      <c r="B291" s="268" t="str">
        <f t="shared" si="104"/>
        <v>Dagannoth Kings - Seercull</v>
      </c>
      <c r="C291" s="269"/>
      <c r="D291" s="269"/>
      <c r="E291" s="269"/>
      <c r="F291" s="269"/>
      <c r="G291" s="270"/>
      <c r="H291" s="271" t="s">
        <v>589</v>
      </c>
      <c r="I291" s="269"/>
      <c r="J291" s="270"/>
      <c r="K291" s="272">
        <f t="shared" si="4"/>
        <v>10</v>
      </c>
      <c r="L291" s="271">
        <f t="shared" si="105"/>
        <v>15</v>
      </c>
      <c r="M291" s="269"/>
      <c r="N291" s="270"/>
      <c r="O291" s="273">
        <f t="shared" si="106"/>
        <v>1</v>
      </c>
      <c r="P291" s="269"/>
      <c r="Q291" s="270"/>
      <c r="R291" s="274">
        <f t="shared" si="7"/>
        <v>0.6666666667</v>
      </c>
      <c r="S291" s="269"/>
      <c r="T291" s="275"/>
      <c r="U291" s="2"/>
      <c r="V291" s="2"/>
      <c r="W291" s="285" t="s">
        <v>854</v>
      </c>
      <c r="X291" s="269"/>
      <c r="Y291" s="269"/>
      <c r="Z291" s="269"/>
      <c r="AA291" s="269"/>
      <c r="AB291" s="281"/>
      <c r="AC291" s="280">
        <v>9654814.0</v>
      </c>
      <c r="AD291" s="269"/>
      <c r="AE291" s="269"/>
      <c r="AF291" s="281"/>
      <c r="AG291" s="289" t="s">
        <v>855</v>
      </c>
      <c r="AH291" s="287"/>
      <c r="AI291" s="287"/>
      <c r="AJ291" s="287"/>
      <c r="AK291" s="287"/>
      <c r="AL291" s="287"/>
      <c r="AM291" s="287"/>
      <c r="AN291" s="287"/>
      <c r="AO291" s="287"/>
      <c r="AP291" s="287"/>
      <c r="AQ291" s="288"/>
      <c r="AR291" s="2"/>
      <c r="AS291" s="2"/>
      <c r="AT291" s="2"/>
      <c r="AU291" s="2"/>
      <c r="AV291" s="2"/>
      <c r="AW291" s="2"/>
      <c r="AX291" s="2"/>
      <c r="AY291" s="2"/>
      <c r="AZ291" s="2"/>
      <c r="BA291" s="2"/>
      <c r="BB291" s="2"/>
      <c r="BC291" s="2"/>
      <c r="BD291" s="2"/>
      <c r="BE291" s="2"/>
      <c r="BF291" s="2"/>
      <c r="BG291" s="2"/>
      <c r="BH291" s="2"/>
      <c r="BI291" s="2"/>
      <c r="BJ291" s="2"/>
      <c r="BK291" s="2"/>
      <c r="BL291" s="2"/>
    </row>
    <row r="292" ht="18.75" hidden="1" customHeight="1">
      <c r="A292" s="2"/>
      <c r="B292" s="268" t="str">
        <f t="shared" si="104"/>
        <v>Dagannoth Kings - Mud Battlestaff</v>
      </c>
      <c r="C292" s="269"/>
      <c r="D292" s="269"/>
      <c r="E292" s="269"/>
      <c r="F292" s="269"/>
      <c r="G292" s="270"/>
      <c r="H292" s="271" t="s">
        <v>589</v>
      </c>
      <c r="I292" s="269"/>
      <c r="J292" s="270"/>
      <c r="K292" s="272">
        <f t="shared" si="4"/>
        <v>10</v>
      </c>
      <c r="L292" s="271">
        <f t="shared" si="105"/>
        <v>15</v>
      </c>
      <c r="M292" s="269"/>
      <c r="N292" s="270"/>
      <c r="O292" s="273">
        <f t="shared" si="106"/>
        <v>1</v>
      </c>
      <c r="P292" s="269"/>
      <c r="Q292" s="270"/>
      <c r="R292" s="274">
        <f t="shared" si="7"/>
        <v>0.6666666667</v>
      </c>
      <c r="S292" s="269"/>
      <c r="T292" s="275"/>
      <c r="U292" s="2"/>
      <c r="V292" s="2"/>
      <c r="W292" s="285" t="s">
        <v>494</v>
      </c>
      <c r="X292" s="269"/>
      <c r="Y292" s="269"/>
      <c r="Z292" s="269"/>
      <c r="AA292" s="269"/>
      <c r="AB292" s="281"/>
      <c r="AC292" s="280">
        <v>9048209.0</v>
      </c>
      <c r="AD292" s="269"/>
      <c r="AE292" s="269"/>
      <c r="AF292" s="281"/>
      <c r="AG292" s="289" t="s">
        <v>856</v>
      </c>
      <c r="AH292" s="287"/>
      <c r="AI292" s="287"/>
      <c r="AJ292" s="287"/>
      <c r="AK292" s="287"/>
      <c r="AL292" s="287"/>
      <c r="AM292" s="287"/>
      <c r="AN292" s="287"/>
      <c r="AO292" s="287"/>
      <c r="AP292" s="287"/>
      <c r="AQ292" s="288"/>
      <c r="AR292" s="2"/>
      <c r="AS292" s="2"/>
      <c r="AT292" s="2"/>
      <c r="AU292" s="2"/>
      <c r="AV292" s="2"/>
      <c r="AW292" s="2"/>
      <c r="AX292" s="2"/>
      <c r="AY292" s="2"/>
      <c r="AZ292" s="2"/>
      <c r="BA292" s="2"/>
      <c r="BB292" s="2"/>
      <c r="BC292" s="2"/>
      <c r="BD292" s="2"/>
      <c r="BE292" s="2"/>
      <c r="BF292" s="2"/>
      <c r="BG292" s="2"/>
      <c r="BH292" s="2"/>
      <c r="BI292" s="2"/>
      <c r="BJ292" s="2"/>
      <c r="BK292" s="2"/>
      <c r="BL292" s="2"/>
    </row>
    <row r="293" ht="18.75" hidden="1" customHeight="1">
      <c r="A293" s="2"/>
      <c r="B293" s="268" t="str">
        <f t="shared" si="104"/>
        <v>Dagannoth Kings - Dragon axe</v>
      </c>
      <c r="C293" s="269"/>
      <c r="D293" s="269"/>
      <c r="E293" s="269"/>
      <c r="F293" s="269"/>
      <c r="G293" s="270"/>
      <c r="H293" s="271" t="s">
        <v>589</v>
      </c>
      <c r="I293" s="269"/>
      <c r="J293" s="270"/>
      <c r="K293" s="272">
        <f t="shared" si="4"/>
        <v>10</v>
      </c>
      <c r="L293" s="271">
        <f t="shared" si="105"/>
        <v>15</v>
      </c>
      <c r="M293" s="269"/>
      <c r="N293" s="270"/>
      <c r="O293" s="273">
        <f t="shared" si="106"/>
        <v>1</v>
      </c>
      <c r="P293" s="269"/>
      <c r="Q293" s="270"/>
      <c r="R293" s="274">
        <f t="shared" si="7"/>
        <v>0.6666666667</v>
      </c>
      <c r="S293" s="269"/>
      <c r="T293" s="275"/>
      <c r="U293" s="2"/>
      <c r="V293" s="2"/>
      <c r="W293" s="285" t="s">
        <v>51</v>
      </c>
      <c r="X293" s="269"/>
      <c r="Y293" s="269"/>
      <c r="Z293" s="269"/>
      <c r="AA293" s="269"/>
      <c r="AB293" s="281"/>
      <c r="AC293" s="280">
        <v>7376352.0</v>
      </c>
      <c r="AD293" s="269"/>
      <c r="AE293" s="269"/>
      <c r="AF293" s="281"/>
      <c r="AG293" s="289" t="s">
        <v>185</v>
      </c>
      <c r="AH293" s="287"/>
      <c r="AI293" s="287"/>
      <c r="AJ293" s="287"/>
      <c r="AK293" s="287"/>
      <c r="AL293" s="287"/>
      <c r="AM293" s="287"/>
      <c r="AN293" s="287"/>
      <c r="AO293" s="287"/>
      <c r="AP293" s="287"/>
      <c r="AQ293" s="288"/>
      <c r="AR293" s="2"/>
      <c r="AS293" s="2"/>
      <c r="AT293" s="2"/>
      <c r="AU293" s="2"/>
      <c r="AV293" s="2"/>
      <c r="AW293" s="2"/>
      <c r="AX293" s="2"/>
      <c r="AY293" s="2"/>
      <c r="AZ293" s="2"/>
      <c r="BA293" s="2"/>
      <c r="BB293" s="2"/>
      <c r="BC293" s="2"/>
      <c r="BD293" s="2"/>
      <c r="BE293" s="2"/>
      <c r="BF293" s="2"/>
      <c r="BG293" s="2"/>
      <c r="BH293" s="2"/>
      <c r="BI293" s="2"/>
      <c r="BJ293" s="2"/>
      <c r="BK293" s="2"/>
      <c r="BL293" s="2"/>
    </row>
    <row r="294" ht="18.75" hidden="1" customHeight="1">
      <c r="A294" s="2"/>
      <c r="B294" s="268" t="str">
        <f t="shared" ref="B294:B296" si="107">$BA$47 &amp; " - " &amp; BA49</f>
        <v>Moons of Peril - Eclipse Moon Piece (any)</v>
      </c>
      <c r="C294" s="269"/>
      <c r="D294" s="269"/>
      <c r="E294" s="269"/>
      <c r="F294" s="269"/>
      <c r="G294" s="270"/>
      <c r="H294" s="271" t="s">
        <v>578</v>
      </c>
      <c r="I294" s="269"/>
      <c r="J294" s="270"/>
      <c r="K294" s="272">
        <f t="shared" si="4"/>
        <v>5</v>
      </c>
      <c r="L294" s="271">
        <f t="shared" ref="L294:L296" si="108">$BJ$47</f>
        <v>8</v>
      </c>
      <c r="M294" s="269"/>
      <c r="N294" s="270"/>
      <c r="O294" s="273">
        <f t="shared" ref="O294:O296" si="109">BI49</f>
        <v>1</v>
      </c>
      <c r="P294" s="269"/>
      <c r="Q294" s="270"/>
      <c r="R294" s="274">
        <f t="shared" si="7"/>
        <v>0.625</v>
      </c>
      <c r="S294" s="269"/>
      <c r="T294" s="275"/>
      <c r="U294" s="2"/>
      <c r="V294" s="2"/>
      <c r="W294" s="285" t="s">
        <v>499</v>
      </c>
      <c r="X294" s="269"/>
      <c r="Y294" s="269"/>
      <c r="Z294" s="269"/>
      <c r="AA294" s="269"/>
      <c r="AB294" s="281"/>
      <c r="AC294" s="280">
        <v>4316160.0</v>
      </c>
      <c r="AD294" s="269"/>
      <c r="AE294" s="269"/>
      <c r="AF294" s="281"/>
      <c r="AG294" s="289" t="s">
        <v>857</v>
      </c>
      <c r="AH294" s="287"/>
      <c r="AI294" s="287"/>
      <c r="AJ294" s="287"/>
      <c r="AK294" s="287"/>
      <c r="AL294" s="287"/>
      <c r="AM294" s="287"/>
      <c r="AN294" s="287"/>
      <c r="AO294" s="287"/>
      <c r="AP294" s="287"/>
      <c r="AQ294" s="288"/>
      <c r="AR294" s="2"/>
      <c r="AS294" s="2"/>
      <c r="AT294" s="2"/>
      <c r="AU294" s="2"/>
      <c r="AV294" s="2"/>
      <c r="AW294" s="2"/>
      <c r="AX294" s="2"/>
      <c r="AY294" s="2"/>
      <c r="AZ294" s="2"/>
      <c r="BA294" s="2"/>
      <c r="BB294" s="2"/>
      <c r="BC294" s="2"/>
      <c r="BD294" s="2"/>
      <c r="BE294" s="2"/>
      <c r="BF294" s="2"/>
      <c r="BG294" s="2"/>
      <c r="BH294" s="2"/>
      <c r="BI294" s="2"/>
      <c r="BJ294" s="2"/>
      <c r="BK294" s="2"/>
      <c r="BL294" s="2"/>
    </row>
    <row r="295" ht="18.75" hidden="1" customHeight="1">
      <c r="A295" s="2"/>
      <c r="B295" s="268" t="str">
        <f t="shared" si="107"/>
        <v>Moons of Peril - Blood Moon Piece (any)</v>
      </c>
      <c r="C295" s="269"/>
      <c r="D295" s="269"/>
      <c r="E295" s="269"/>
      <c r="F295" s="269"/>
      <c r="G295" s="270"/>
      <c r="H295" s="271" t="s">
        <v>578</v>
      </c>
      <c r="I295" s="269"/>
      <c r="J295" s="270"/>
      <c r="K295" s="272">
        <f t="shared" si="4"/>
        <v>5</v>
      </c>
      <c r="L295" s="271">
        <f t="shared" si="108"/>
        <v>8</v>
      </c>
      <c r="M295" s="269"/>
      <c r="N295" s="270"/>
      <c r="O295" s="273">
        <f t="shared" si="109"/>
        <v>1</v>
      </c>
      <c r="P295" s="269"/>
      <c r="Q295" s="270"/>
      <c r="R295" s="274">
        <f t="shared" si="7"/>
        <v>0.625</v>
      </c>
      <c r="S295" s="269"/>
      <c r="T295" s="275"/>
      <c r="U295" s="2"/>
      <c r="V295" s="2"/>
      <c r="W295" s="285" t="s">
        <v>502</v>
      </c>
      <c r="X295" s="269"/>
      <c r="Y295" s="269"/>
      <c r="Z295" s="269"/>
      <c r="AA295" s="269"/>
      <c r="AB295" s="281"/>
      <c r="AC295" s="280">
        <v>3242542.0</v>
      </c>
      <c r="AD295" s="269"/>
      <c r="AE295" s="269"/>
      <c r="AF295" s="281"/>
      <c r="AG295" s="289" t="s">
        <v>108</v>
      </c>
      <c r="AH295" s="287"/>
      <c r="AI295" s="287"/>
      <c r="AJ295" s="287"/>
      <c r="AK295" s="287"/>
      <c r="AL295" s="287"/>
      <c r="AM295" s="287"/>
      <c r="AN295" s="287"/>
      <c r="AO295" s="287"/>
      <c r="AP295" s="287"/>
      <c r="AQ295" s="288"/>
      <c r="AR295" s="2"/>
      <c r="AS295" s="2"/>
      <c r="AT295" s="2"/>
      <c r="AU295" s="2"/>
      <c r="AV295" s="2"/>
      <c r="AW295" s="2"/>
      <c r="AX295" s="2"/>
      <c r="AY295" s="2"/>
      <c r="AZ295" s="2"/>
      <c r="BA295" s="2"/>
      <c r="BB295" s="2"/>
      <c r="BC295" s="2"/>
      <c r="BD295" s="2"/>
      <c r="BE295" s="2"/>
      <c r="BF295" s="2"/>
      <c r="BG295" s="2"/>
      <c r="BH295" s="2"/>
      <c r="BI295" s="2"/>
      <c r="BJ295" s="2"/>
      <c r="BK295" s="2"/>
      <c r="BL295" s="2"/>
    </row>
    <row r="296" ht="18.75" hidden="1" customHeight="1">
      <c r="A296" s="2"/>
      <c r="B296" s="268" t="str">
        <f t="shared" si="107"/>
        <v>Moons of Peril - Blue Moon Piece (any)</v>
      </c>
      <c r="C296" s="269"/>
      <c r="D296" s="269"/>
      <c r="E296" s="269"/>
      <c r="F296" s="269"/>
      <c r="G296" s="270"/>
      <c r="H296" s="271" t="s">
        <v>578</v>
      </c>
      <c r="I296" s="269"/>
      <c r="J296" s="270"/>
      <c r="K296" s="272">
        <f t="shared" si="4"/>
        <v>5</v>
      </c>
      <c r="L296" s="271">
        <f t="shared" si="108"/>
        <v>8</v>
      </c>
      <c r="M296" s="269"/>
      <c r="N296" s="270"/>
      <c r="O296" s="273">
        <f t="shared" si="109"/>
        <v>1</v>
      </c>
      <c r="P296" s="269"/>
      <c r="Q296" s="270"/>
      <c r="R296" s="274">
        <f t="shared" si="7"/>
        <v>0.625</v>
      </c>
      <c r="S296" s="269"/>
      <c r="T296" s="275"/>
      <c r="U296" s="2"/>
      <c r="V296" s="2"/>
      <c r="W296" s="285" t="s">
        <v>391</v>
      </c>
      <c r="X296" s="269"/>
      <c r="Y296" s="269"/>
      <c r="Z296" s="269"/>
      <c r="AA296" s="269"/>
      <c r="AB296" s="281"/>
      <c r="AC296" s="280">
        <v>8.20115678E8</v>
      </c>
      <c r="AD296" s="269"/>
      <c r="AE296" s="269"/>
      <c r="AF296" s="281"/>
      <c r="AG296" s="289" t="s">
        <v>858</v>
      </c>
      <c r="AH296" s="287"/>
      <c r="AI296" s="287"/>
      <c r="AJ296" s="287"/>
      <c r="AK296" s="287"/>
      <c r="AL296" s="287"/>
      <c r="AM296" s="287"/>
      <c r="AN296" s="287"/>
      <c r="AO296" s="287"/>
      <c r="AP296" s="287"/>
      <c r="AQ296" s="288"/>
      <c r="AR296" s="2"/>
      <c r="AS296" s="2"/>
      <c r="AT296" s="2"/>
      <c r="AU296" s="2"/>
      <c r="AV296" s="2"/>
      <c r="AW296" s="2"/>
      <c r="AX296" s="2"/>
      <c r="AY296" s="2"/>
      <c r="AZ296" s="2"/>
      <c r="BA296" s="2"/>
      <c r="BB296" s="2"/>
      <c r="BC296" s="2"/>
      <c r="BD296" s="2"/>
      <c r="BE296" s="2"/>
      <c r="BF296" s="2"/>
      <c r="BG296" s="2"/>
      <c r="BH296" s="2"/>
      <c r="BI296" s="2"/>
      <c r="BJ296" s="2"/>
      <c r="BK296" s="2"/>
      <c r="BL296" s="2"/>
    </row>
    <row r="297" ht="18.75" hidden="1" customHeight="1">
      <c r="A297" s="2"/>
      <c r="B297" s="268" t="str">
        <f t="shared" ref="B297:B299" si="110">$M$69 &amp; " - " &amp; M71</f>
        <v>MegaRares - Twisted Bow</v>
      </c>
      <c r="C297" s="269"/>
      <c r="D297" s="269"/>
      <c r="E297" s="269"/>
      <c r="F297" s="269"/>
      <c r="G297" s="270"/>
      <c r="H297" s="271"/>
      <c r="I297" s="269"/>
      <c r="J297" s="270"/>
      <c r="K297" s="272"/>
      <c r="L297" s="271"/>
      <c r="M297" s="269"/>
      <c r="N297" s="270"/>
      <c r="O297" s="271">
        <f t="shared" ref="O297:O299" si="111">U71</f>
        <v>10</v>
      </c>
      <c r="P297" s="269"/>
      <c r="Q297" s="270"/>
      <c r="R297" s="274">
        <f t="shared" ref="R297:R328" si="112">O297</f>
        <v>10</v>
      </c>
      <c r="S297" s="269"/>
      <c r="T297" s="275"/>
      <c r="U297" s="2"/>
      <c r="V297" s="2"/>
      <c r="W297" s="285" t="s">
        <v>859</v>
      </c>
      <c r="X297" s="269"/>
      <c r="Y297" s="269"/>
      <c r="Z297" s="269"/>
      <c r="AA297" s="269"/>
      <c r="AB297" s="281"/>
      <c r="AC297" s="280">
        <v>4.2932221E7</v>
      </c>
      <c r="AD297" s="269"/>
      <c r="AE297" s="269"/>
      <c r="AF297" s="281"/>
      <c r="AG297" s="289" t="s">
        <v>860</v>
      </c>
      <c r="AH297" s="287"/>
      <c r="AI297" s="287"/>
      <c r="AJ297" s="287"/>
      <c r="AK297" s="287"/>
      <c r="AL297" s="287"/>
      <c r="AM297" s="287"/>
      <c r="AN297" s="287"/>
      <c r="AO297" s="287"/>
      <c r="AP297" s="287"/>
      <c r="AQ297" s="288"/>
      <c r="AR297" s="2"/>
      <c r="AS297" s="2"/>
      <c r="AT297" s="2"/>
      <c r="AU297" s="2"/>
      <c r="AV297" s="2"/>
      <c r="AW297" s="2"/>
      <c r="AX297" s="2"/>
      <c r="AY297" s="2"/>
      <c r="AZ297" s="2"/>
      <c r="BA297" s="2"/>
      <c r="BB297" s="2"/>
      <c r="BC297" s="2"/>
      <c r="BD297" s="2"/>
      <c r="BE297" s="2"/>
      <c r="BF297" s="2"/>
      <c r="BG297" s="2"/>
      <c r="BH297" s="2"/>
      <c r="BI297" s="2"/>
      <c r="BJ297" s="2"/>
      <c r="BK297" s="2"/>
      <c r="BL297" s="2"/>
    </row>
    <row r="298" ht="18.75" hidden="1" customHeight="1">
      <c r="A298" s="2"/>
      <c r="B298" s="268" t="str">
        <f t="shared" si="110"/>
        <v>MegaRares - Scythe of Vitur</v>
      </c>
      <c r="C298" s="269"/>
      <c r="D298" s="269"/>
      <c r="E298" s="269"/>
      <c r="F298" s="269"/>
      <c r="G298" s="270"/>
      <c r="H298" s="271"/>
      <c r="I298" s="269"/>
      <c r="J298" s="270"/>
      <c r="K298" s="272"/>
      <c r="L298" s="271"/>
      <c r="M298" s="269"/>
      <c r="N298" s="270"/>
      <c r="O298" s="271">
        <f t="shared" si="111"/>
        <v>10</v>
      </c>
      <c r="P298" s="269"/>
      <c r="Q298" s="270"/>
      <c r="R298" s="274">
        <f t="shared" si="112"/>
        <v>10</v>
      </c>
      <c r="S298" s="269"/>
      <c r="T298" s="275"/>
      <c r="U298" s="2"/>
      <c r="V298" s="2"/>
      <c r="W298" s="285" t="s">
        <v>861</v>
      </c>
      <c r="X298" s="269"/>
      <c r="Y298" s="269"/>
      <c r="Z298" s="269"/>
      <c r="AA298" s="269"/>
      <c r="AB298" s="281"/>
      <c r="AC298" s="280">
        <v>2.8811631E7</v>
      </c>
      <c r="AD298" s="269"/>
      <c r="AE298" s="269"/>
      <c r="AF298" s="281"/>
      <c r="AG298" s="289" t="s">
        <v>862</v>
      </c>
      <c r="AH298" s="287"/>
      <c r="AI298" s="287"/>
      <c r="AJ298" s="287"/>
      <c r="AK298" s="287"/>
      <c r="AL298" s="287"/>
      <c r="AM298" s="287"/>
      <c r="AN298" s="287"/>
      <c r="AO298" s="287"/>
      <c r="AP298" s="287"/>
      <c r="AQ298" s="288"/>
      <c r="AR298" s="2"/>
      <c r="AS298" s="2"/>
      <c r="AT298" s="2"/>
      <c r="AU298" s="2"/>
      <c r="AV298" s="2"/>
      <c r="AW298" s="2"/>
      <c r="AX298" s="2"/>
      <c r="AY298" s="2"/>
      <c r="AZ298" s="2"/>
      <c r="BA298" s="2"/>
      <c r="BB298" s="2"/>
      <c r="BC298" s="2"/>
      <c r="BD298" s="2"/>
      <c r="BE298" s="2"/>
      <c r="BF298" s="2"/>
      <c r="BG298" s="2"/>
      <c r="BH298" s="2"/>
      <c r="BI298" s="2"/>
      <c r="BJ298" s="2"/>
      <c r="BK298" s="2"/>
      <c r="BL298" s="2"/>
    </row>
    <row r="299" ht="18.75" hidden="1" customHeight="1">
      <c r="A299" s="2"/>
      <c r="B299" s="268" t="str">
        <f t="shared" si="110"/>
        <v>MegaRares - Tumeken's Shadow</v>
      </c>
      <c r="C299" s="269"/>
      <c r="D299" s="269"/>
      <c r="E299" s="269"/>
      <c r="F299" s="269"/>
      <c r="G299" s="270"/>
      <c r="H299" s="271"/>
      <c r="I299" s="269"/>
      <c r="J299" s="270"/>
      <c r="K299" s="272"/>
      <c r="L299" s="271"/>
      <c r="M299" s="269"/>
      <c r="N299" s="270"/>
      <c r="O299" s="271">
        <f t="shared" si="111"/>
        <v>10</v>
      </c>
      <c r="P299" s="269"/>
      <c r="Q299" s="270"/>
      <c r="R299" s="274">
        <f t="shared" si="112"/>
        <v>10</v>
      </c>
      <c r="S299" s="269"/>
      <c r="T299" s="275"/>
      <c r="U299" s="2"/>
      <c r="V299" s="2"/>
      <c r="W299" s="285" t="s">
        <v>863</v>
      </c>
      <c r="X299" s="269"/>
      <c r="Y299" s="269"/>
      <c r="Z299" s="269"/>
      <c r="AA299" s="269"/>
      <c r="AB299" s="281"/>
      <c r="AC299" s="280">
        <v>1.727856E7</v>
      </c>
      <c r="AD299" s="269"/>
      <c r="AE299" s="269"/>
      <c r="AF299" s="281"/>
      <c r="AG299" s="289" t="s">
        <v>864</v>
      </c>
      <c r="AH299" s="287"/>
      <c r="AI299" s="287"/>
      <c r="AJ299" s="287"/>
      <c r="AK299" s="287"/>
      <c r="AL299" s="287"/>
      <c r="AM299" s="287"/>
      <c r="AN299" s="287"/>
      <c r="AO299" s="287"/>
      <c r="AP299" s="287"/>
      <c r="AQ299" s="288"/>
      <c r="AR299" s="2"/>
      <c r="AS299" s="2"/>
      <c r="AT299" s="2"/>
      <c r="AU299" s="2"/>
      <c r="AV299" s="2"/>
      <c r="AW299" s="2"/>
      <c r="AX299" s="2"/>
      <c r="AY299" s="2"/>
      <c r="AZ299" s="2"/>
      <c r="BA299" s="2"/>
      <c r="BB299" s="2"/>
      <c r="BC299" s="2"/>
      <c r="BD299" s="2"/>
      <c r="BE299" s="2"/>
      <c r="BF299" s="2"/>
      <c r="BG299" s="2"/>
      <c r="BH299" s="2"/>
      <c r="BI299" s="2"/>
      <c r="BJ299" s="2"/>
      <c r="BK299" s="2"/>
      <c r="BL299" s="2"/>
    </row>
    <row r="300" ht="18.75" hidden="1" customHeight="1">
      <c r="A300" s="2"/>
      <c r="B300" s="268" t="str">
        <f t="shared" ref="B300:B308" si="113">$W$69 &amp; " - " &amp; W70</f>
        <v>Nightmare - Nightmare staff</v>
      </c>
      <c r="C300" s="269"/>
      <c r="D300" s="269"/>
      <c r="E300" s="269"/>
      <c r="F300" s="269"/>
      <c r="G300" s="270"/>
      <c r="H300" s="271"/>
      <c r="I300" s="269"/>
      <c r="J300" s="270"/>
      <c r="K300" s="272"/>
      <c r="L300" s="271"/>
      <c r="M300" s="269"/>
      <c r="N300" s="270"/>
      <c r="O300" s="273">
        <f t="shared" ref="O300:O308" si="114">AE70</f>
        <v>2</v>
      </c>
      <c r="P300" s="269"/>
      <c r="Q300" s="270"/>
      <c r="R300" s="274">
        <f t="shared" si="112"/>
        <v>2</v>
      </c>
      <c r="S300" s="269"/>
      <c r="T300" s="275"/>
      <c r="U300" s="2"/>
      <c r="V300" s="2"/>
      <c r="W300" s="285" t="s">
        <v>865</v>
      </c>
      <c r="X300" s="269"/>
      <c r="Y300" s="269"/>
      <c r="Z300" s="269"/>
      <c r="AA300" s="269"/>
      <c r="AB300" s="281"/>
      <c r="AC300" s="280">
        <v>1.0257588E7</v>
      </c>
      <c r="AD300" s="269"/>
      <c r="AE300" s="269"/>
      <c r="AF300" s="281"/>
      <c r="AG300" s="289" t="s">
        <v>866</v>
      </c>
      <c r="AH300" s="287"/>
      <c r="AI300" s="287"/>
      <c r="AJ300" s="287"/>
      <c r="AK300" s="287"/>
      <c r="AL300" s="287"/>
      <c r="AM300" s="287"/>
      <c r="AN300" s="287"/>
      <c r="AO300" s="287"/>
      <c r="AP300" s="287"/>
      <c r="AQ300" s="288"/>
      <c r="AR300" s="2"/>
      <c r="AS300" s="2"/>
      <c r="AT300" s="2"/>
      <c r="AU300" s="2"/>
      <c r="AV300" s="2"/>
      <c r="AW300" s="2"/>
      <c r="AX300" s="2"/>
      <c r="AY300" s="2"/>
      <c r="AZ300" s="2"/>
      <c r="BA300" s="2"/>
      <c r="BB300" s="2"/>
      <c r="BC300" s="2"/>
      <c r="BD300" s="2"/>
      <c r="BE300" s="2"/>
      <c r="BF300" s="2"/>
      <c r="BG300" s="2"/>
      <c r="BH300" s="2"/>
      <c r="BI300" s="2"/>
      <c r="BJ300" s="2"/>
      <c r="BK300" s="2"/>
      <c r="BL300" s="2"/>
    </row>
    <row r="301" ht="18.75" hidden="1" customHeight="1">
      <c r="A301" s="2"/>
      <c r="B301" s="268" t="str">
        <f t="shared" si="113"/>
        <v>Nightmare - Inquisitor's great helm</v>
      </c>
      <c r="C301" s="269"/>
      <c r="D301" s="269"/>
      <c r="E301" s="269"/>
      <c r="F301" s="269"/>
      <c r="G301" s="270"/>
      <c r="H301" s="271"/>
      <c r="I301" s="269"/>
      <c r="J301" s="270"/>
      <c r="K301" s="272"/>
      <c r="L301" s="271"/>
      <c r="M301" s="269"/>
      <c r="N301" s="270"/>
      <c r="O301" s="273">
        <f t="shared" si="114"/>
        <v>2</v>
      </c>
      <c r="P301" s="269"/>
      <c r="Q301" s="270"/>
      <c r="R301" s="274">
        <f t="shared" si="112"/>
        <v>2</v>
      </c>
      <c r="S301" s="269"/>
      <c r="T301" s="275"/>
      <c r="U301" s="2"/>
      <c r="V301" s="2"/>
      <c r="W301" s="285" t="s">
        <v>379</v>
      </c>
      <c r="X301" s="269"/>
      <c r="Y301" s="269"/>
      <c r="Z301" s="269"/>
      <c r="AA301" s="269"/>
      <c r="AB301" s="281"/>
      <c r="AC301" s="280">
        <v>3954615.0</v>
      </c>
      <c r="AD301" s="269"/>
      <c r="AE301" s="269"/>
      <c r="AF301" s="281"/>
      <c r="AG301" s="289" t="s">
        <v>867</v>
      </c>
      <c r="AH301" s="287"/>
      <c r="AI301" s="287"/>
      <c r="AJ301" s="287"/>
      <c r="AK301" s="287"/>
      <c r="AL301" s="287"/>
      <c r="AM301" s="287"/>
      <c r="AN301" s="287"/>
      <c r="AO301" s="287"/>
      <c r="AP301" s="287"/>
      <c r="AQ301" s="288"/>
      <c r="AR301" s="2"/>
      <c r="AS301" s="2"/>
      <c r="AT301" s="2"/>
      <c r="AU301" s="2"/>
      <c r="AV301" s="2"/>
      <c r="AW301" s="2"/>
      <c r="AX301" s="2"/>
      <c r="AY301" s="2"/>
      <c r="AZ301" s="2"/>
      <c r="BA301" s="2"/>
      <c r="BB301" s="2"/>
      <c r="BC301" s="2"/>
      <c r="BD301" s="2"/>
      <c r="BE301" s="2"/>
      <c r="BF301" s="2"/>
      <c r="BG301" s="2"/>
      <c r="BH301" s="2"/>
      <c r="BI301" s="2"/>
      <c r="BJ301" s="2"/>
      <c r="BK301" s="2"/>
      <c r="BL301" s="2"/>
    </row>
    <row r="302" ht="18.75" hidden="1" customHeight="1">
      <c r="A302" s="2"/>
      <c r="B302" s="268" t="str">
        <f t="shared" si="113"/>
        <v>Nightmare - Inquisitor's hauberk</v>
      </c>
      <c r="C302" s="269"/>
      <c r="D302" s="269"/>
      <c r="E302" s="269"/>
      <c r="F302" s="269"/>
      <c r="G302" s="270"/>
      <c r="H302" s="271"/>
      <c r="I302" s="269"/>
      <c r="J302" s="270"/>
      <c r="K302" s="272"/>
      <c r="L302" s="271"/>
      <c r="M302" s="269"/>
      <c r="N302" s="270"/>
      <c r="O302" s="273">
        <f t="shared" si="114"/>
        <v>2</v>
      </c>
      <c r="P302" s="269"/>
      <c r="Q302" s="270"/>
      <c r="R302" s="274">
        <f t="shared" si="112"/>
        <v>2</v>
      </c>
      <c r="S302" s="269"/>
      <c r="T302" s="275"/>
      <c r="U302" s="2"/>
      <c r="V302" s="2"/>
      <c r="W302" s="285" t="s">
        <v>371</v>
      </c>
      <c r="X302" s="269"/>
      <c r="Y302" s="269"/>
      <c r="Z302" s="269"/>
      <c r="AA302" s="269"/>
      <c r="AB302" s="281"/>
      <c r="AC302" s="280">
        <v>3823749.0</v>
      </c>
      <c r="AD302" s="269"/>
      <c r="AE302" s="269"/>
      <c r="AF302" s="281"/>
      <c r="AG302" s="289" t="s">
        <v>211</v>
      </c>
      <c r="AH302" s="287"/>
      <c r="AI302" s="287"/>
      <c r="AJ302" s="287"/>
      <c r="AK302" s="287"/>
      <c r="AL302" s="287"/>
      <c r="AM302" s="287"/>
      <c r="AN302" s="287"/>
      <c r="AO302" s="287"/>
      <c r="AP302" s="287"/>
      <c r="AQ302" s="288"/>
      <c r="AR302" s="2"/>
      <c r="AS302" s="2"/>
      <c r="AT302" s="2"/>
      <c r="AU302" s="2"/>
      <c r="AV302" s="2"/>
      <c r="AW302" s="2"/>
      <c r="AX302" s="2"/>
      <c r="AY302" s="2"/>
      <c r="AZ302" s="2"/>
      <c r="BA302" s="2"/>
      <c r="BB302" s="2"/>
      <c r="BC302" s="2"/>
      <c r="BD302" s="2"/>
      <c r="BE302" s="2"/>
      <c r="BF302" s="2"/>
      <c r="BG302" s="2"/>
      <c r="BH302" s="2"/>
      <c r="BI302" s="2"/>
      <c r="BJ302" s="2"/>
      <c r="BK302" s="2"/>
      <c r="BL302" s="2"/>
    </row>
    <row r="303" ht="18.75" hidden="1" customHeight="1">
      <c r="A303" s="2"/>
      <c r="B303" s="268" t="str">
        <f t="shared" si="113"/>
        <v>Nightmare - Inquisitor's plateskirt</v>
      </c>
      <c r="C303" s="269"/>
      <c r="D303" s="269"/>
      <c r="E303" s="269"/>
      <c r="F303" s="269"/>
      <c r="G303" s="270"/>
      <c r="H303" s="271"/>
      <c r="I303" s="269"/>
      <c r="J303" s="270"/>
      <c r="K303" s="272"/>
      <c r="L303" s="271"/>
      <c r="M303" s="269"/>
      <c r="N303" s="270"/>
      <c r="O303" s="273">
        <f t="shared" si="114"/>
        <v>2</v>
      </c>
      <c r="P303" s="269"/>
      <c r="Q303" s="270"/>
      <c r="R303" s="274">
        <f t="shared" si="112"/>
        <v>2</v>
      </c>
      <c r="S303" s="269"/>
      <c r="T303" s="275"/>
      <c r="U303" s="2"/>
      <c r="V303" s="2"/>
      <c r="W303" s="285" t="s">
        <v>242</v>
      </c>
      <c r="X303" s="269"/>
      <c r="Y303" s="269"/>
      <c r="Z303" s="269"/>
      <c r="AA303" s="269"/>
      <c r="AB303" s="281"/>
      <c r="AC303" s="280">
        <v>3.6486338E7</v>
      </c>
      <c r="AD303" s="269"/>
      <c r="AE303" s="269"/>
      <c r="AF303" s="281"/>
      <c r="AG303" s="289" t="s">
        <v>169</v>
      </c>
      <c r="AH303" s="287"/>
      <c r="AI303" s="287"/>
      <c r="AJ303" s="287"/>
      <c r="AK303" s="287"/>
      <c r="AL303" s="287"/>
      <c r="AM303" s="287"/>
      <c r="AN303" s="287"/>
      <c r="AO303" s="287"/>
      <c r="AP303" s="287"/>
      <c r="AQ303" s="288"/>
      <c r="AR303" s="2"/>
      <c r="AS303" s="2"/>
      <c r="AT303" s="2"/>
      <c r="AU303" s="2"/>
      <c r="AV303" s="2"/>
      <c r="AW303" s="2"/>
      <c r="AX303" s="2"/>
      <c r="AY303" s="2"/>
      <c r="AZ303" s="2"/>
      <c r="BA303" s="2"/>
      <c r="BB303" s="2"/>
      <c r="BC303" s="2"/>
      <c r="BD303" s="2"/>
      <c r="BE303" s="2"/>
      <c r="BF303" s="2"/>
      <c r="BG303" s="2"/>
      <c r="BH303" s="2"/>
      <c r="BI303" s="2"/>
      <c r="BJ303" s="2"/>
      <c r="BK303" s="2"/>
      <c r="BL303" s="2"/>
    </row>
    <row r="304" ht="18.75" hidden="1" customHeight="1">
      <c r="A304" s="2"/>
      <c r="B304" s="268" t="str">
        <f t="shared" si="113"/>
        <v>Nightmare - Inquisitor's mace</v>
      </c>
      <c r="C304" s="269"/>
      <c r="D304" s="269"/>
      <c r="E304" s="269"/>
      <c r="F304" s="269"/>
      <c r="G304" s="270"/>
      <c r="H304" s="271"/>
      <c r="I304" s="269"/>
      <c r="J304" s="270"/>
      <c r="K304" s="272"/>
      <c r="L304" s="271"/>
      <c r="M304" s="269"/>
      <c r="N304" s="270"/>
      <c r="O304" s="273">
        <f t="shared" si="114"/>
        <v>2</v>
      </c>
      <c r="P304" s="269"/>
      <c r="Q304" s="270"/>
      <c r="R304" s="274">
        <f t="shared" si="112"/>
        <v>2</v>
      </c>
      <c r="S304" s="269"/>
      <c r="T304" s="275"/>
      <c r="U304" s="2"/>
      <c r="V304" s="2"/>
      <c r="W304" s="285" t="s">
        <v>253</v>
      </c>
      <c r="X304" s="269"/>
      <c r="Y304" s="269"/>
      <c r="Z304" s="269"/>
      <c r="AA304" s="269"/>
      <c r="AB304" s="281"/>
      <c r="AC304" s="280">
        <v>1754592.0</v>
      </c>
      <c r="AD304" s="269"/>
      <c r="AE304" s="269"/>
      <c r="AF304" s="281"/>
      <c r="AG304" s="289" t="s">
        <v>221</v>
      </c>
      <c r="AH304" s="287"/>
      <c r="AI304" s="287"/>
      <c r="AJ304" s="287"/>
      <c r="AK304" s="287"/>
      <c r="AL304" s="287"/>
      <c r="AM304" s="287"/>
      <c r="AN304" s="287"/>
      <c r="AO304" s="287"/>
      <c r="AP304" s="287"/>
      <c r="AQ304" s="288"/>
      <c r="AR304" s="2"/>
      <c r="AS304" s="2"/>
      <c r="AT304" s="2"/>
      <c r="AU304" s="2"/>
      <c r="AV304" s="2"/>
      <c r="AW304" s="2"/>
      <c r="AX304" s="2"/>
      <c r="AY304" s="2"/>
      <c r="AZ304" s="2"/>
      <c r="BA304" s="2"/>
      <c r="BB304" s="2"/>
      <c r="BC304" s="2"/>
      <c r="BD304" s="2"/>
      <c r="BE304" s="2"/>
      <c r="BF304" s="2"/>
      <c r="BG304" s="2"/>
      <c r="BH304" s="2"/>
      <c r="BI304" s="2"/>
      <c r="BJ304" s="2"/>
      <c r="BK304" s="2"/>
      <c r="BL304" s="2"/>
    </row>
    <row r="305" ht="18.75" hidden="1" customHeight="1">
      <c r="A305" s="2"/>
      <c r="B305" s="268" t="str">
        <f t="shared" si="113"/>
        <v>Nightmare - Eldritch orb</v>
      </c>
      <c r="C305" s="269"/>
      <c r="D305" s="269"/>
      <c r="E305" s="269"/>
      <c r="F305" s="269"/>
      <c r="G305" s="270"/>
      <c r="H305" s="271"/>
      <c r="I305" s="269"/>
      <c r="J305" s="270"/>
      <c r="K305" s="272"/>
      <c r="L305" s="271"/>
      <c r="M305" s="269"/>
      <c r="N305" s="270"/>
      <c r="O305" s="273">
        <f t="shared" si="114"/>
        <v>2</v>
      </c>
      <c r="P305" s="269"/>
      <c r="Q305" s="270"/>
      <c r="R305" s="274">
        <f t="shared" si="112"/>
        <v>2</v>
      </c>
      <c r="S305" s="269"/>
      <c r="T305" s="275"/>
      <c r="U305" s="2"/>
      <c r="V305" s="2"/>
      <c r="W305" s="285" t="s">
        <v>346</v>
      </c>
      <c r="X305" s="269"/>
      <c r="Y305" s="269"/>
      <c r="Z305" s="269"/>
      <c r="AA305" s="269"/>
      <c r="AB305" s="281"/>
      <c r="AC305" s="280">
        <v>1.2107614E7</v>
      </c>
      <c r="AD305" s="269"/>
      <c r="AE305" s="269"/>
      <c r="AF305" s="281"/>
      <c r="AG305" s="289" t="s">
        <v>868</v>
      </c>
      <c r="AH305" s="287"/>
      <c r="AI305" s="287"/>
      <c r="AJ305" s="287"/>
      <c r="AK305" s="287"/>
      <c r="AL305" s="287"/>
      <c r="AM305" s="287"/>
      <c r="AN305" s="287"/>
      <c r="AO305" s="287"/>
      <c r="AP305" s="287"/>
      <c r="AQ305" s="288"/>
      <c r="AR305" s="2"/>
      <c r="AS305" s="2"/>
      <c r="AT305" s="2"/>
      <c r="AU305" s="2"/>
      <c r="AV305" s="2"/>
      <c r="AW305" s="2"/>
      <c r="AX305" s="2"/>
      <c r="AY305" s="2"/>
      <c r="AZ305" s="2"/>
      <c r="BA305" s="2"/>
      <c r="BB305" s="2"/>
      <c r="BC305" s="2"/>
      <c r="BD305" s="2"/>
      <c r="BE305" s="2"/>
      <c r="BF305" s="2"/>
      <c r="BG305" s="2"/>
      <c r="BH305" s="2"/>
      <c r="BI305" s="2"/>
      <c r="BJ305" s="2"/>
      <c r="BK305" s="2"/>
      <c r="BL305" s="2"/>
    </row>
    <row r="306" ht="18.75" hidden="1" customHeight="1">
      <c r="A306" s="2"/>
      <c r="B306" s="268" t="str">
        <f t="shared" si="113"/>
        <v>Nightmare - Harmonised orb</v>
      </c>
      <c r="C306" s="269"/>
      <c r="D306" s="269"/>
      <c r="E306" s="269"/>
      <c r="F306" s="269"/>
      <c r="G306" s="270"/>
      <c r="H306" s="271"/>
      <c r="I306" s="269"/>
      <c r="J306" s="270"/>
      <c r="K306" s="272"/>
      <c r="L306" s="271"/>
      <c r="M306" s="269"/>
      <c r="N306" s="270"/>
      <c r="O306" s="273">
        <f t="shared" si="114"/>
        <v>4</v>
      </c>
      <c r="P306" s="269"/>
      <c r="Q306" s="270"/>
      <c r="R306" s="274">
        <f t="shared" si="112"/>
        <v>4</v>
      </c>
      <c r="S306" s="269"/>
      <c r="T306" s="275"/>
      <c r="U306" s="2"/>
      <c r="V306" s="2"/>
      <c r="W306" s="285" t="s">
        <v>338</v>
      </c>
      <c r="X306" s="269"/>
      <c r="Y306" s="269"/>
      <c r="Z306" s="269"/>
      <c r="AA306" s="269"/>
      <c r="AB306" s="281"/>
      <c r="AC306" s="280">
        <v>3211854.0</v>
      </c>
      <c r="AD306" s="269"/>
      <c r="AE306" s="269"/>
      <c r="AF306" s="281"/>
      <c r="AG306" s="289" t="s">
        <v>869</v>
      </c>
      <c r="AH306" s="287"/>
      <c r="AI306" s="287"/>
      <c r="AJ306" s="287"/>
      <c r="AK306" s="287"/>
      <c r="AL306" s="287"/>
      <c r="AM306" s="287"/>
      <c r="AN306" s="287"/>
      <c r="AO306" s="287"/>
      <c r="AP306" s="287"/>
      <c r="AQ306" s="288"/>
      <c r="AR306" s="2"/>
      <c r="AS306" s="2"/>
      <c r="AT306" s="2"/>
      <c r="AU306" s="2"/>
      <c r="AV306" s="2"/>
      <c r="AW306" s="2"/>
      <c r="AX306" s="2"/>
      <c r="AY306" s="2"/>
      <c r="AZ306" s="2"/>
      <c r="BA306" s="2"/>
      <c r="BB306" s="2"/>
      <c r="BC306" s="2"/>
      <c r="BD306" s="2"/>
      <c r="BE306" s="2"/>
      <c r="BF306" s="2"/>
      <c r="BG306" s="2"/>
      <c r="BH306" s="2"/>
      <c r="BI306" s="2"/>
      <c r="BJ306" s="2"/>
      <c r="BK306" s="2"/>
      <c r="BL306" s="2"/>
    </row>
    <row r="307" ht="18.75" hidden="1" customHeight="1">
      <c r="A307" s="2"/>
      <c r="B307" s="268" t="str">
        <f t="shared" si="113"/>
        <v>Nightmare - Volatile orb</v>
      </c>
      <c r="C307" s="269"/>
      <c r="D307" s="269"/>
      <c r="E307" s="269"/>
      <c r="F307" s="269"/>
      <c r="G307" s="270"/>
      <c r="H307" s="271"/>
      <c r="I307" s="269"/>
      <c r="J307" s="270"/>
      <c r="K307" s="272"/>
      <c r="L307" s="271"/>
      <c r="M307" s="269"/>
      <c r="N307" s="270"/>
      <c r="O307" s="273">
        <f t="shared" si="114"/>
        <v>2</v>
      </c>
      <c r="P307" s="269"/>
      <c r="Q307" s="270"/>
      <c r="R307" s="274">
        <f t="shared" si="112"/>
        <v>2</v>
      </c>
      <c r="S307" s="269"/>
      <c r="T307" s="275"/>
      <c r="U307" s="2"/>
      <c r="V307" s="2"/>
      <c r="W307" s="285" t="s">
        <v>330</v>
      </c>
      <c r="X307" s="269"/>
      <c r="Y307" s="269"/>
      <c r="Z307" s="269"/>
      <c r="AA307" s="269"/>
      <c r="AB307" s="281"/>
      <c r="AC307" s="280">
        <v>110315.0</v>
      </c>
      <c r="AD307" s="269"/>
      <c r="AE307" s="269"/>
      <c r="AF307" s="281"/>
      <c r="AG307" s="289" t="s">
        <v>870</v>
      </c>
      <c r="AH307" s="287"/>
      <c r="AI307" s="287"/>
      <c r="AJ307" s="287"/>
      <c r="AK307" s="287"/>
      <c r="AL307" s="287"/>
      <c r="AM307" s="287"/>
      <c r="AN307" s="287"/>
      <c r="AO307" s="287"/>
      <c r="AP307" s="287"/>
      <c r="AQ307" s="288"/>
      <c r="AR307" s="2"/>
      <c r="AS307" s="2"/>
      <c r="AT307" s="2"/>
      <c r="AU307" s="2"/>
      <c r="AV307" s="2"/>
      <c r="AW307" s="2"/>
      <c r="AX307" s="2"/>
      <c r="AY307" s="2"/>
      <c r="AZ307" s="2"/>
      <c r="BA307" s="2"/>
      <c r="BB307" s="2"/>
      <c r="BC307" s="2"/>
      <c r="BD307" s="2"/>
      <c r="BE307" s="2"/>
      <c r="BF307" s="2"/>
      <c r="BG307" s="2"/>
      <c r="BH307" s="2"/>
      <c r="BI307" s="2"/>
      <c r="BJ307" s="2"/>
      <c r="BK307" s="2"/>
      <c r="BL307" s="2"/>
    </row>
    <row r="308" ht="18.75" hidden="1" customHeight="1">
      <c r="A308" s="2"/>
      <c r="B308" s="268" t="str">
        <f t="shared" si="113"/>
        <v>Nightmare - Jar of Dreams</v>
      </c>
      <c r="C308" s="269"/>
      <c r="D308" s="269"/>
      <c r="E308" s="269"/>
      <c r="F308" s="269"/>
      <c r="G308" s="270"/>
      <c r="H308" s="271"/>
      <c r="I308" s="269"/>
      <c r="J308" s="270"/>
      <c r="K308" s="272"/>
      <c r="L308" s="271"/>
      <c r="M308" s="269"/>
      <c r="N308" s="270"/>
      <c r="O308" s="273">
        <f t="shared" si="114"/>
        <v>4</v>
      </c>
      <c r="P308" s="269"/>
      <c r="Q308" s="270"/>
      <c r="R308" s="274">
        <f t="shared" si="112"/>
        <v>4</v>
      </c>
      <c r="S308" s="269"/>
      <c r="T308" s="275"/>
      <c r="U308" s="2"/>
      <c r="V308" s="2"/>
      <c r="W308" s="285" t="s">
        <v>871</v>
      </c>
      <c r="X308" s="269"/>
      <c r="Y308" s="269"/>
      <c r="Z308" s="269"/>
      <c r="AA308" s="269"/>
      <c r="AB308" s="281"/>
      <c r="AC308" s="280">
        <v>3.5460187E7</v>
      </c>
      <c r="AD308" s="269"/>
      <c r="AE308" s="269"/>
      <c r="AF308" s="281"/>
      <c r="AG308" s="289" t="s">
        <v>872</v>
      </c>
      <c r="AH308" s="287"/>
      <c r="AI308" s="287"/>
      <c r="AJ308" s="287"/>
      <c r="AK308" s="287"/>
      <c r="AL308" s="287"/>
      <c r="AM308" s="287"/>
      <c r="AN308" s="287"/>
      <c r="AO308" s="287"/>
      <c r="AP308" s="287"/>
      <c r="AQ308" s="288"/>
      <c r="AR308" s="2"/>
      <c r="AS308" s="2"/>
      <c r="AT308" s="2"/>
      <c r="AU308" s="2"/>
      <c r="AV308" s="2"/>
      <c r="AW308" s="2"/>
      <c r="AX308" s="2"/>
      <c r="AY308" s="2"/>
      <c r="AZ308" s="2"/>
      <c r="BA308" s="2"/>
      <c r="BB308" s="2"/>
      <c r="BC308" s="2"/>
      <c r="BD308" s="2"/>
      <c r="BE308" s="2"/>
      <c r="BF308" s="2"/>
      <c r="BG308" s="2"/>
      <c r="BH308" s="2"/>
      <c r="BI308" s="2"/>
      <c r="BJ308" s="2"/>
      <c r="BK308" s="2"/>
      <c r="BL308" s="2"/>
    </row>
    <row r="309" ht="18.75" hidden="1" customHeight="1">
      <c r="A309" s="2"/>
      <c r="B309" s="268" t="str">
        <f t="shared" ref="B309:B315" si="115">$AG$69 &amp; " - " &amp; AG70</f>
        <v>Nex - Zaryte vambraces</v>
      </c>
      <c r="C309" s="269"/>
      <c r="D309" s="269"/>
      <c r="E309" s="269"/>
      <c r="F309" s="269"/>
      <c r="G309" s="270"/>
      <c r="H309" s="271"/>
      <c r="I309" s="269"/>
      <c r="J309" s="270"/>
      <c r="K309" s="272"/>
      <c r="L309" s="271"/>
      <c r="M309" s="269"/>
      <c r="N309" s="270"/>
      <c r="O309" s="273">
        <f t="shared" ref="O309:O315" si="116">AO70</f>
        <v>3</v>
      </c>
      <c r="P309" s="269"/>
      <c r="Q309" s="270"/>
      <c r="R309" s="274">
        <f t="shared" si="112"/>
        <v>3</v>
      </c>
      <c r="S309" s="269"/>
      <c r="T309" s="275"/>
      <c r="U309" s="2"/>
      <c r="V309" s="2"/>
      <c r="W309" s="285" t="s">
        <v>873</v>
      </c>
      <c r="X309" s="269"/>
      <c r="Y309" s="269"/>
      <c r="Z309" s="269"/>
      <c r="AA309" s="269"/>
      <c r="AB309" s="281"/>
      <c r="AC309" s="280">
        <v>1729457.0</v>
      </c>
      <c r="AD309" s="269"/>
      <c r="AE309" s="269"/>
      <c r="AF309" s="281"/>
      <c r="AG309" s="289" t="s">
        <v>874</v>
      </c>
      <c r="AH309" s="287"/>
      <c r="AI309" s="287"/>
      <c r="AJ309" s="287"/>
      <c r="AK309" s="287"/>
      <c r="AL309" s="287"/>
      <c r="AM309" s="287"/>
      <c r="AN309" s="287"/>
      <c r="AO309" s="287"/>
      <c r="AP309" s="287"/>
      <c r="AQ309" s="288"/>
      <c r="AR309" s="2"/>
      <c r="AS309" s="2"/>
      <c r="AT309" s="2"/>
      <c r="AU309" s="2"/>
      <c r="AV309" s="2"/>
      <c r="AW309" s="2"/>
      <c r="AX309" s="2"/>
      <c r="AY309" s="2"/>
      <c r="AZ309" s="2"/>
      <c r="BA309" s="2"/>
      <c r="BB309" s="2"/>
      <c r="BC309" s="2"/>
      <c r="BD309" s="2"/>
      <c r="BE309" s="2"/>
      <c r="BF309" s="2"/>
      <c r="BG309" s="2"/>
      <c r="BH309" s="2"/>
      <c r="BI309" s="2"/>
      <c r="BJ309" s="2"/>
      <c r="BK309" s="2"/>
      <c r="BL309" s="2"/>
    </row>
    <row r="310" ht="18.75" hidden="1" customHeight="1">
      <c r="A310" s="2"/>
      <c r="B310" s="268" t="str">
        <f t="shared" si="115"/>
        <v>Nex - Nihil horn</v>
      </c>
      <c r="C310" s="269"/>
      <c r="D310" s="269"/>
      <c r="E310" s="269"/>
      <c r="F310" s="269"/>
      <c r="G310" s="270"/>
      <c r="H310" s="271"/>
      <c r="I310" s="269"/>
      <c r="J310" s="270"/>
      <c r="K310" s="272"/>
      <c r="L310" s="271"/>
      <c r="M310" s="269"/>
      <c r="N310" s="270"/>
      <c r="O310" s="273">
        <f t="shared" si="116"/>
        <v>3</v>
      </c>
      <c r="P310" s="269"/>
      <c r="Q310" s="270"/>
      <c r="R310" s="274">
        <f t="shared" si="112"/>
        <v>3</v>
      </c>
      <c r="S310" s="269"/>
      <c r="T310" s="275"/>
      <c r="U310" s="2"/>
      <c r="V310" s="2"/>
      <c r="W310" s="285" t="s">
        <v>875</v>
      </c>
      <c r="X310" s="269"/>
      <c r="Y310" s="269"/>
      <c r="Z310" s="269"/>
      <c r="AA310" s="269"/>
      <c r="AB310" s="281"/>
      <c r="AC310" s="280">
        <v>984167.0</v>
      </c>
      <c r="AD310" s="269"/>
      <c r="AE310" s="269"/>
      <c r="AF310" s="281"/>
      <c r="AG310" s="289" t="s">
        <v>876</v>
      </c>
      <c r="AH310" s="287"/>
      <c r="AI310" s="287"/>
      <c r="AJ310" s="287"/>
      <c r="AK310" s="287"/>
      <c r="AL310" s="287"/>
      <c r="AM310" s="287"/>
      <c r="AN310" s="287"/>
      <c r="AO310" s="287"/>
      <c r="AP310" s="287"/>
      <c r="AQ310" s="288"/>
      <c r="AR310" s="2"/>
      <c r="AS310" s="2"/>
      <c r="AT310" s="2"/>
      <c r="AU310" s="2"/>
      <c r="AV310" s="2"/>
      <c r="AW310" s="2"/>
      <c r="AX310" s="2"/>
      <c r="AY310" s="2"/>
      <c r="AZ310" s="2"/>
      <c r="BA310" s="2"/>
      <c r="BB310" s="2"/>
      <c r="BC310" s="2"/>
      <c r="BD310" s="2"/>
      <c r="BE310" s="2"/>
      <c r="BF310" s="2"/>
      <c r="BG310" s="2"/>
      <c r="BH310" s="2"/>
      <c r="BI310" s="2"/>
      <c r="BJ310" s="2"/>
      <c r="BK310" s="2"/>
      <c r="BL310" s="2"/>
    </row>
    <row r="311" ht="18.75" hidden="1" customHeight="1">
      <c r="A311" s="2"/>
      <c r="B311" s="268" t="str">
        <f t="shared" si="115"/>
        <v>Nex - Torva full helm</v>
      </c>
      <c r="C311" s="269"/>
      <c r="D311" s="269"/>
      <c r="E311" s="269"/>
      <c r="F311" s="269"/>
      <c r="G311" s="270"/>
      <c r="H311" s="271"/>
      <c r="I311" s="269"/>
      <c r="J311" s="270"/>
      <c r="K311" s="272"/>
      <c r="L311" s="271"/>
      <c r="M311" s="269"/>
      <c r="N311" s="270"/>
      <c r="O311" s="273">
        <f t="shared" si="116"/>
        <v>3</v>
      </c>
      <c r="P311" s="269"/>
      <c r="Q311" s="270"/>
      <c r="R311" s="274">
        <f t="shared" si="112"/>
        <v>3</v>
      </c>
      <c r="S311" s="269"/>
      <c r="T311" s="275"/>
      <c r="U311" s="2"/>
      <c r="V311" s="2"/>
      <c r="W311" s="285" t="s">
        <v>877</v>
      </c>
      <c r="X311" s="269"/>
      <c r="Y311" s="269"/>
      <c r="Z311" s="269"/>
      <c r="AA311" s="269"/>
      <c r="AB311" s="281"/>
      <c r="AC311" s="280">
        <v>958078.0</v>
      </c>
      <c r="AD311" s="269"/>
      <c r="AE311" s="269"/>
      <c r="AF311" s="281"/>
      <c r="AG311" s="289" t="s">
        <v>878</v>
      </c>
      <c r="AH311" s="287"/>
      <c r="AI311" s="287"/>
      <c r="AJ311" s="287"/>
      <c r="AK311" s="287"/>
      <c r="AL311" s="287"/>
      <c r="AM311" s="287"/>
      <c r="AN311" s="287"/>
      <c r="AO311" s="287"/>
      <c r="AP311" s="287"/>
      <c r="AQ311" s="288"/>
      <c r="AR311" s="2"/>
      <c r="AS311" s="2"/>
      <c r="AT311" s="2"/>
      <c r="AU311" s="2"/>
      <c r="AV311" s="2"/>
      <c r="AW311" s="2"/>
      <c r="AX311" s="2"/>
      <c r="AY311" s="2"/>
      <c r="AZ311" s="2"/>
      <c r="BA311" s="2"/>
      <c r="BB311" s="2"/>
      <c r="BC311" s="2"/>
      <c r="BD311" s="2"/>
      <c r="BE311" s="2"/>
      <c r="BF311" s="2"/>
      <c r="BG311" s="2"/>
      <c r="BH311" s="2"/>
      <c r="BI311" s="2"/>
      <c r="BJ311" s="2"/>
      <c r="BK311" s="2"/>
      <c r="BL311" s="2"/>
    </row>
    <row r="312" ht="18.75" hidden="1" customHeight="1">
      <c r="A312" s="2"/>
      <c r="B312" s="268" t="str">
        <f t="shared" si="115"/>
        <v>Nex - Torva platebody</v>
      </c>
      <c r="C312" s="269"/>
      <c r="D312" s="269"/>
      <c r="E312" s="269"/>
      <c r="F312" s="269"/>
      <c r="G312" s="270"/>
      <c r="H312" s="271"/>
      <c r="I312" s="269"/>
      <c r="J312" s="270"/>
      <c r="K312" s="272"/>
      <c r="L312" s="271"/>
      <c r="M312" s="269"/>
      <c r="N312" s="270"/>
      <c r="O312" s="273">
        <f t="shared" si="116"/>
        <v>3</v>
      </c>
      <c r="P312" s="269"/>
      <c r="Q312" s="270"/>
      <c r="R312" s="274">
        <f t="shared" si="112"/>
        <v>3</v>
      </c>
      <c r="S312" s="269"/>
      <c r="T312" s="275"/>
      <c r="U312" s="2"/>
      <c r="V312" s="2"/>
      <c r="W312" s="285" t="s">
        <v>453</v>
      </c>
      <c r="X312" s="269"/>
      <c r="Y312" s="269"/>
      <c r="Z312" s="269"/>
      <c r="AA312" s="269"/>
      <c r="AB312" s="281"/>
      <c r="AC312" s="280">
        <v>588695.0</v>
      </c>
      <c r="AD312" s="269"/>
      <c r="AE312" s="269"/>
      <c r="AF312" s="281"/>
      <c r="AG312" s="289" t="s">
        <v>157</v>
      </c>
      <c r="AH312" s="287"/>
      <c r="AI312" s="287"/>
      <c r="AJ312" s="287"/>
      <c r="AK312" s="287"/>
      <c r="AL312" s="287"/>
      <c r="AM312" s="287"/>
      <c r="AN312" s="287"/>
      <c r="AO312" s="287"/>
      <c r="AP312" s="287"/>
      <c r="AQ312" s="288"/>
      <c r="AR312" s="2"/>
      <c r="AS312" s="2"/>
      <c r="AT312" s="2"/>
      <c r="AU312" s="2"/>
      <c r="AV312" s="2"/>
      <c r="AW312" s="2"/>
      <c r="AX312" s="2"/>
      <c r="AY312" s="2"/>
      <c r="AZ312" s="2"/>
      <c r="BA312" s="2"/>
      <c r="BB312" s="2"/>
      <c r="BC312" s="2"/>
      <c r="BD312" s="2"/>
      <c r="BE312" s="2"/>
      <c r="BF312" s="2"/>
      <c r="BG312" s="2"/>
      <c r="BH312" s="2"/>
      <c r="BI312" s="2"/>
      <c r="BJ312" s="2"/>
      <c r="BK312" s="2"/>
      <c r="BL312" s="2"/>
    </row>
    <row r="313" ht="18.75" hidden="1" customHeight="1">
      <c r="A313" s="2"/>
      <c r="B313" s="268" t="str">
        <f t="shared" si="115"/>
        <v>Nex - Torva platelegs</v>
      </c>
      <c r="C313" s="269"/>
      <c r="D313" s="269"/>
      <c r="E313" s="269"/>
      <c r="F313" s="269"/>
      <c r="G313" s="270"/>
      <c r="H313" s="271"/>
      <c r="I313" s="269"/>
      <c r="J313" s="270"/>
      <c r="K313" s="272"/>
      <c r="L313" s="271"/>
      <c r="M313" s="269"/>
      <c r="N313" s="270"/>
      <c r="O313" s="273">
        <f t="shared" si="116"/>
        <v>3</v>
      </c>
      <c r="P313" s="269"/>
      <c r="Q313" s="270"/>
      <c r="R313" s="274">
        <f t="shared" si="112"/>
        <v>3</v>
      </c>
      <c r="S313" s="269"/>
      <c r="T313" s="275"/>
      <c r="U313" s="2"/>
      <c r="V313" s="2"/>
      <c r="W313" s="285" t="s">
        <v>879</v>
      </c>
      <c r="X313" s="269"/>
      <c r="Y313" s="269"/>
      <c r="Z313" s="269"/>
      <c r="AA313" s="269"/>
      <c r="AB313" s="281"/>
      <c r="AC313" s="280">
        <v>183832.0</v>
      </c>
      <c r="AD313" s="269"/>
      <c r="AE313" s="269"/>
      <c r="AF313" s="281"/>
      <c r="AG313" s="289" t="s">
        <v>880</v>
      </c>
      <c r="AH313" s="287"/>
      <c r="AI313" s="287"/>
      <c r="AJ313" s="287"/>
      <c r="AK313" s="287"/>
      <c r="AL313" s="287"/>
      <c r="AM313" s="287"/>
      <c r="AN313" s="287"/>
      <c r="AO313" s="287"/>
      <c r="AP313" s="287"/>
      <c r="AQ313" s="288"/>
      <c r="AR313" s="2"/>
      <c r="AS313" s="2"/>
      <c r="AT313" s="2"/>
      <c r="AU313" s="2"/>
      <c r="AV313" s="2"/>
      <c r="AW313" s="2"/>
      <c r="AX313" s="2"/>
      <c r="AY313" s="2"/>
      <c r="AZ313" s="2"/>
      <c r="BA313" s="2"/>
      <c r="BB313" s="2"/>
      <c r="BC313" s="2"/>
      <c r="BD313" s="2"/>
      <c r="BE313" s="2"/>
      <c r="BF313" s="2"/>
      <c r="BG313" s="2"/>
      <c r="BH313" s="2"/>
      <c r="BI313" s="2"/>
      <c r="BJ313" s="2"/>
      <c r="BK313" s="2"/>
      <c r="BL313" s="2"/>
    </row>
    <row r="314" ht="18.75" hidden="1" customHeight="1">
      <c r="A314" s="2"/>
      <c r="B314" s="268" t="str">
        <f t="shared" si="115"/>
        <v>Nex - Ancient hilt</v>
      </c>
      <c r="C314" s="269"/>
      <c r="D314" s="269"/>
      <c r="E314" s="269"/>
      <c r="F314" s="269"/>
      <c r="G314" s="270"/>
      <c r="H314" s="271"/>
      <c r="I314" s="269"/>
      <c r="J314" s="270"/>
      <c r="K314" s="272"/>
      <c r="L314" s="271"/>
      <c r="M314" s="269"/>
      <c r="N314" s="270"/>
      <c r="O314" s="273">
        <f t="shared" si="116"/>
        <v>5</v>
      </c>
      <c r="P314" s="269"/>
      <c r="Q314" s="270"/>
      <c r="R314" s="274">
        <f t="shared" si="112"/>
        <v>5</v>
      </c>
      <c r="S314" s="269"/>
      <c r="T314" s="275"/>
      <c r="U314" s="2"/>
      <c r="V314" s="2"/>
      <c r="W314" s="285" t="s">
        <v>483</v>
      </c>
      <c r="X314" s="269"/>
      <c r="Y314" s="269"/>
      <c r="Z314" s="269"/>
      <c r="AA314" s="269"/>
      <c r="AB314" s="281"/>
      <c r="AC314" s="280">
        <v>132213.0</v>
      </c>
      <c r="AD314" s="269"/>
      <c r="AE314" s="269"/>
      <c r="AF314" s="281"/>
      <c r="AG314" s="289" t="s">
        <v>101</v>
      </c>
      <c r="AH314" s="287"/>
      <c r="AI314" s="287"/>
      <c r="AJ314" s="287"/>
      <c r="AK314" s="287"/>
      <c r="AL314" s="287"/>
      <c r="AM314" s="287"/>
      <c r="AN314" s="287"/>
      <c r="AO314" s="287"/>
      <c r="AP314" s="287"/>
      <c r="AQ314" s="288"/>
      <c r="AR314" s="2"/>
      <c r="AS314" s="2"/>
      <c r="AT314" s="2"/>
      <c r="AU314" s="2"/>
      <c r="AV314" s="2"/>
      <c r="AW314" s="2"/>
      <c r="AX314" s="2"/>
      <c r="AY314" s="2"/>
      <c r="AZ314" s="2"/>
      <c r="BA314" s="2"/>
      <c r="BB314" s="2"/>
      <c r="BC314" s="2"/>
      <c r="BD314" s="2"/>
      <c r="BE314" s="2"/>
      <c r="BF314" s="2"/>
      <c r="BG314" s="2"/>
      <c r="BH314" s="2"/>
      <c r="BI314" s="2"/>
      <c r="BJ314" s="2"/>
      <c r="BK314" s="2"/>
      <c r="BL314" s="2"/>
    </row>
    <row r="315" ht="18.75" hidden="1" customHeight="1">
      <c r="A315" s="2"/>
      <c r="B315" s="268" t="str">
        <f t="shared" si="115"/>
        <v>Nex - Nexling</v>
      </c>
      <c r="C315" s="269"/>
      <c r="D315" s="269"/>
      <c r="E315" s="269"/>
      <c r="F315" s="269"/>
      <c r="G315" s="270"/>
      <c r="H315" s="271"/>
      <c r="I315" s="269"/>
      <c r="J315" s="270"/>
      <c r="K315" s="272"/>
      <c r="L315" s="271"/>
      <c r="M315" s="269"/>
      <c r="N315" s="270"/>
      <c r="O315" s="273">
        <f t="shared" si="116"/>
        <v>5</v>
      </c>
      <c r="P315" s="269"/>
      <c r="Q315" s="270"/>
      <c r="R315" s="274">
        <f t="shared" si="112"/>
        <v>5</v>
      </c>
      <c r="S315" s="269"/>
      <c r="T315" s="275"/>
      <c r="U315" s="2"/>
      <c r="V315" s="2"/>
      <c r="W315" s="285" t="s">
        <v>881</v>
      </c>
      <c r="X315" s="269"/>
      <c r="Y315" s="269"/>
      <c r="Z315" s="269"/>
      <c r="AA315" s="269"/>
      <c r="AB315" s="281"/>
      <c r="AC315" s="280">
        <v>86829.0</v>
      </c>
      <c r="AD315" s="269"/>
      <c r="AE315" s="269"/>
      <c r="AF315" s="281"/>
      <c r="AG315" s="289" t="s">
        <v>882</v>
      </c>
      <c r="AH315" s="287"/>
      <c r="AI315" s="287"/>
      <c r="AJ315" s="287"/>
      <c r="AK315" s="287"/>
      <c r="AL315" s="287"/>
      <c r="AM315" s="287"/>
      <c r="AN315" s="287"/>
      <c r="AO315" s="287"/>
      <c r="AP315" s="287"/>
      <c r="AQ315" s="288"/>
      <c r="AR315" s="2"/>
      <c r="AS315" s="2"/>
      <c r="AT315" s="2"/>
      <c r="AU315" s="2"/>
      <c r="AV315" s="2"/>
      <c r="AW315" s="2"/>
      <c r="AX315" s="2"/>
      <c r="AY315" s="2"/>
      <c r="AZ315" s="2"/>
      <c r="BA315" s="2"/>
      <c r="BB315" s="2"/>
      <c r="BC315" s="2"/>
      <c r="BD315" s="2"/>
      <c r="BE315" s="2"/>
      <c r="BF315" s="2"/>
      <c r="BG315" s="2"/>
      <c r="BH315" s="2"/>
      <c r="BI315" s="2"/>
      <c r="BJ315" s="2"/>
      <c r="BK315" s="2"/>
      <c r="BL315" s="2"/>
    </row>
    <row r="316" ht="18.75" hidden="1" customHeight="1">
      <c r="A316" s="2"/>
      <c r="B316" s="268" t="str">
        <f t="shared" ref="B316:B320" si="117">$AQ$69 &amp; " - " &amp; AQ70</f>
        <v>Corporeal Beast - Spectral sigil</v>
      </c>
      <c r="C316" s="269"/>
      <c r="D316" s="269"/>
      <c r="E316" s="269"/>
      <c r="F316" s="269"/>
      <c r="G316" s="270"/>
      <c r="H316" s="271"/>
      <c r="I316" s="269"/>
      <c r="J316" s="270"/>
      <c r="K316" s="272"/>
      <c r="L316" s="271"/>
      <c r="M316" s="269"/>
      <c r="N316" s="270"/>
      <c r="O316" s="273">
        <f t="shared" ref="O316:O320" si="118">AY70</f>
        <v>6</v>
      </c>
      <c r="P316" s="269"/>
      <c r="Q316" s="270"/>
      <c r="R316" s="274">
        <f t="shared" si="112"/>
        <v>6</v>
      </c>
      <c r="S316" s="269"/>
      <c r="T316" s="275"/>
      <c r="U316" s="2"/>
      <c r="V316" s="2"/>
      <c r="W316" s="285" t="s">
        <v>478</v>
      </c>
      <c r="X316" s="269"/>
      <c r="Y316" s="269"/>
      <c r="Z316" s="269"/>
      <c r="AA316" s="269"/>
      <c r="AB316" s="281"/>
      <c r="AC316" s="280">
        <v>58720.0</v>
      </c>
      <c r="AD316" s="269"/>
      <c r="AE316" s="269"/>
      <c r="AF316" s="281"/>
      <c r="AG316" s="289" t="s">
        <v>156</v>
      </c>
      <c r="AH316" s="287"/>
      <c r="AI316" s="287"/>
      <c r="AJ316" s="287"/>
      <c r="AK316" s="287"/>
      <c r="AL316" s="287"/>
      <c r="AM316" s="287"/>
      <c r="AN316" s="287"/>
      <c r="AO316" s="287"/>
      <c r="AP316" s="287"/>
      <c r="AQ316" s="288"/>
      <c r="AR316" s="2"/>
      <c r="AS316" s="2"/>
      <c r="AT316" s="2"/>
      <c r="AU316" s="2"/>
      <c r="AV316" s="2"/>
      <c r="AW316" s="2"/>
      <c r="AX316" s="2"/>
      <c r="AY316" s="2"/>
      <c r="AZ316" s="2"/>
      <c r="BA316" s="2"/>
      <c r="BB316" s="2"/>
      <c r="BC316" s="2"/>
      <c r="BD316" s="2"/>
      <c r="BE316" s="2"/>
      <c r="BF316" s="2"/>
      <c r="BG316" s="2"/>
      <c r="BH316" s="2"/>
      <c r="BI316" s="2"/>
      <c r="BJ316" s="2"/>
      <c r="BK316" s="2"/>
      <c r="BL316" s="2"/>
    </row>
    <row r="317" ht="18.75" hidden="1" customHeight="1">
      <c r="A317" s="2"/>
      <c r="B317" s="268" t="str">
        <f t="shared" si="117"/>
        <v>Corporeal Beast - Arcane sigil</v>
      </c>
      <c r="C317" s="269"/>
      <c r="D317" s="269"/>
      <c r="E317" s="269"/>
      <c r="F317" s="269"/>
      <c r="G317" s="270"/>
      <c r="H317" s="271"/>
      <c r="I317" s="269"/>
      <c r="J317" s="270"/>
      <c r="K317" s="272"/>
      <c r="L317" s="271"/>
      <c r="M317" s="269"/>
      <c r="N317" s="270"/>
      <c r="O317" s="273">
        <f t="shared" si="118"/>
        <v>6</v>
      </c>
      <c r="P317" s="269"/>
      <c r="Q317" s="270"/>
      <c r="R317" s="274">
        <f t="shared" si="112"/>
        <v>6</v>
      </c>
      <c r="S317" s="269"/>
      <c r="T317" s="275"/>
      <c r="U317" s="2"/>
      <c r="V317" s="2"/>
      <c r="W317" s="285" t="s">
        <v>474</v>
      </c>
      <c r="X317" s="269"/>
      <c r="Y317" s="269"/>
      <c r="Z317" s="269"/>
      <c r="AA317" s="269"/>
      <c r="AB317" s="281"/>
      <c r="AC317" s="280">
        <v>49601.0</v>
      </c>
      <c r="AD317" s="269"/>
      <c r="AE317" s="269"/>
      <c r="AF317" s="281"/>
      <c r="AG317" s="289" t="s">
        <v>883</v>
      </c>
      <c r="AH317" s="287"/>
      <c r="AI317" s="287"/>
      <c r="AJ317" s="287"/>
      <c r="AK317" s="287"/>
      <c r="AL317" s="287"/>
      <c r="AM317" s="287"/>
      <c r="AN317" s="287"/>
      <c r="AO317" s="287"/>
      <c r="AP317" s="287"/>
      <c r="AQ317" s="288"/>
      <c r="AR317" s="2"/>
      <c r="AS317" s="2"/>
      <c r="AT317" s="2"/>
      <c r="AU317" s="2"/>
      <c r="AV317" s="2"/>
      <c r="AW317" s="2"/>
      <c r="AX317" s="2"/>
      <c r="AY317" s="2"/>
      <c r="AZ317" s="2"/>
      <c r="BA317" s="2"/>
      <c r="BB317" s="2"/>
      <c r="BC317" s="2"/>
      <c r="BD317" s="2"/>
      <c r="BE317" s="2"/>
      <c r="BF317" s="2"/>
      <c r="BG317" s="2"/>
      <c r="BH317" s="2"/>
      <c r="BI317" s="2"/>
      <c r="BJ317" s="2"/>
      <c r="BK317" s="2"/>
      <c r="BL317" s="2"/>
    </row>
    <row r="318" ht="18.75" hidden="1" customHeight="1">
      <c r="A318" s="2"/>
      <c r="B318" s="268" t="str">
        <f t="shared" si="117"/>
        <v>Corporeal Beast - Elysian sigil</v>
      </c>
      <c r="C318" s="269"/>
      <c r="D318" s="269"/>
      <c r="E318" s="269"/>
      <c r="F318" s="269"/>
      <c r="G318" s="270"/>
      <c r="H318" s="271"/>
      <c r="I318" s="269"/>
      <c r="J318" s="270"/>
      <c r="K318" s="272"/>
      <c r="L318" s="271"/>
      <c r="M318" s="269"/>
      <c r="N318" s="270"/>
      <c r="O318" s="273">
        <f t="shared" si="118"/>
        <v>6</v>
      </c>
      <c r="P318" s="269"/>
      <c r="Q318" s="270"/>
      <c r="R318" s="274">
        <f t="shared" si="112"/>
        <v>6</v>
      </c>
      <c r="S318" s="269"/>
      <c r="T318" s="275"/>
      <c r="U318" s="2"/>
      <c r="V318" s="2"/>
      <c r="W318" s="285" t="s">
        <v>469</v>
      </c>
      <c r="X318" s="269"/>
      <c r="Y318" s="269"/>
      <c r="Z318" s="269"/>
      <c r="AA318" s="269"/>
      <c r="AB318" s="281"/>
      <c r="AC318" s="280">
        <v>48802.0</v>
      </c>
      <c r="AD318" s="269"/>
      <c r="AE318" s="269"/>
      <c r="AF318" s="281"/>
      <c r="AG318" s="289" t="s">
        <v>884</v>
      </c>
      <c r="AH318" s="287"/>
      <c r="AI318" s="287"/>
      <c r="AJ318" s="287"/>
      <c r="AK318" s="287"/>
      <c r="AL318" s="287"/>
      <c r="AM318" s="287"/>
      <c r="AN318" s="287"/>
      <c r="AO318" s="287"/>
      <c r="AP318" s="287"/>
      <c r="AQ318" s="288"/>
      <c r="AR318" s="2"/>
      <c r="AS318" s="2"/>
      <c r="AT318" s="2"/>
      <c r="AU318" s="2"/>
      <c r="AV318" s="2"/>
      <c r="AW318" s="2"/>
      <c r="AX318" s="2"/>
      <c r="AY318" s="2"/>
      <c r="AZ318" s="2"/>
      <c r="BA318" s="2"/>
      <c r="BB318" s="2"/>
      <c r="BC318" s="2"/>
      <c r="BD318" s="2"/>
      <c r="BE318" s="2"/>
      <c r="BF318" s="2"/>
      <c r="BG318" s="2"/>
      <c r="BH318" s="2"/>
      <c r="BI318" s="2"/>
      <c r="BJ318" s="2"/>
      <c r="BK318" s="2"/>
      <c r="BL318" s="2"/>
    </row>
    <row r="319" ht="18.75" hidden="1" customHeight="1">
      <c r="A319" s="2"/>
      <c r="B319" s="268" t="str">
        <f t="shared" si="117"/>
        <v>Corporeal Beast - Jar of spirits</v>
      </c>
      <c r="C319" s="269"/>
      <c r="D319" s="269"/>
      <c r="E319" s="269"/>
      <c r="F319" s="269"/>
      <c r="G319" s="270"/>
      <c r="H319" s="271"/>
      <c r="I319" s="269"/>
      <c r="J319" s="270"/>
      <c r="K319" s="272"/>
      <c r="L319" s="271"/>
      <c r="M319" s="269"/>
      <c r="N319" s="270"/>
      <c r="O319" s="273">
        <f t="shared" si="118"/>
        <v>6</v>
      </c>
      <c r="P319" s="269"/>
      <c r="Q319" s="270"/>
      <c r="R319" s="274">
        <f t="shared" si="112"/>
        <v>6</v>
      </c>
      <c r="S319" s="269"/>
      <c r="T319" s="275"/>
      <c r="U319" s="2"/>
      <c r="V319" s="2"/>
      <c r="W319" s="285" t="s">
        <v>435</v>
      </c>
      <c r="X319" s="269"/>
      <c r="Y319" s="269"/>
      <c r="Z319" s="269"/>
      <c r="AA319" s="269"/>
      <c r="AB319" s="281"/>
      <c r="AC319" s="280">
        <v>1589767.0</v>
      </c>
      <c r="AD319" s="269"/>
      <c r="AE319" s="269"/>
      <c r="AF319" s="281"/>
      <c r="AG319" s="289" t="s">
        <v>209</v>
      </c>
      <c r="AH319" s="287"/>
      <c r="AI319" s="287"/>
      <c r="AJ319" s="287"/>
      <c r="AK319" s="287"/>
      <c r="AL319" s="287"/>
      <c r="AM319" s="287"/>
      <c r="AN319" s="287"/>
      <c r="AO319" s="287"/>
      <c r="AP319" s="287"/>
      <c r="AQ319" s="288"/>
      <c r="AR319" s="2"/>
      <c r="AS319" s="2"/>
      <c r="AT319" s="2"/>
      <c r="AU319" s="2"/>
      <c r="AV319" s="2"/>
      <c r="AW319" s="2"/>
      <c r="AX319" s="2"/>
      <c r="AY319" s="2"/>
      <c r="AZ319" s="2"/>
      <c r="BA319" s="2"/>
      <c r="BB319" s="2"/>
      <c r="BC319" s="2"/>
      <c r="BD319" s="2"/>
      <c r="BE319" s="2"/>
      <c r="BF319" s="2"/>
      <c r="BG319" s="2"/>
      <c r="BH319" s="2"/>
      <c r="BI319" s="2"/>
      <c r="BJ319" s="2"/>
      <c r="BK319" s="2"/>
      <c r="BL319" s="2"/>
    </row>
    <row r="320" ht="18.75" hidden="1" customHeight="1">
      <c r="A320" s="2"/>
      <c r="B320" s="268" t="str">
        <f t="shared" si="117"/>
        <v>Corporeal Beast - Pet Dark Core</v>
      </c>
      <c r="C320" s="269"/>
      <c r="D320" s="269"/>
      <c r="E320" s="269"/>
      <c r="F320" s="269"/>
      <c r="G320" s="270"/>
      <c r="H320" s="271"/>
      <c r="I320" s="269"/>
      <c r="J320" s="270"/>
      <c r="K320" s="272"/>
      <c r="L320" s="271"/>
      <c r="M320" s="269"/>
      <c r="N320" s="270"/>
      <c r="O320" s="273">
        <f t="shared" si="118"/>
        <v>6</v>
      </c>
      <c r="P320" s="269"/>
      <c r="Q320" s="270"/>
      <c r="R320" s="274">
        <f t="shared" si="112"/>
        <v>6</v>
      </c>
      <c r="S320" s="269"/>
      <c r="T320" s="275"/>
      <c r="U320" s="2"/>
      <c r="V320" s="2"/>
      <c r="W320" s="285" t="s">
        <v>439</v>
      </c>
      <c r="X320" s="269"/>
      <c r="Y320" s="269"/>
      <c r="Z320" s="269"/>
      <c r="AA320" s="269"/>
      <c r="AB320" s="281"/>
      <c r="AC320" s="280">
        <v>68830.0</v>
      </c>
      <c r="AD320" s="269"/>
      <c r="AE320" s="269"/>
      <c r="AF320" s="281"/>
      <c r="AG320" s="289" t="s">
        <v>885</v>
      </c>
      <c r="AH320" s="287"/>
      <c r="AI320" s="287"/>
      <c r="AJ320" s="287"/>
      <c r="AK320" s="287"/>
      <c r="AL320" s="287"/>
      <c r="AM320" s="287"/>
      <c r="AN320" s="287"/>
      <c r="AO320" s="287"/>
      <c r="AP320" s="287"/>
      <c r="AQ320" s="288"/>
      <c r="AR320" s="2"/>
      <c r="AS320" s="2"/>
      <c r="AT320" s="2"/>
      <c r="AU320" s="2"/>
      <c r="AV320" s="2"/>
      <c r="AW320" s="2"/>
      <c r="AX320" s="2"/>
      <c r="AY320" s="2"/>
      <c r="AZ320" s="2"/>
      <c r="BA320" s="2"/>
      <c r="BB320" s="2"/>
      <c r="BC320" s="2"/>
      <c r="BD320" s="2"/>
      <c r="BE320" s="2"/>
      <c r="BF320" s="2"/>
      <c r="BG320" s="2"/>
      <c r="BH320" s="2"/>
      <c r="BI320" s="2"/>
      <c r="BJ320" s="2"/>
      <c r="BK320" s="2"/>
      <c r="BL320" s="2"/>
    </row>
    <row r="321" ht="18.75" hidden="1" customHeight="1">
      <c r="A321" s="2"/>
      <c r="B321" s="268" t="str">
        <f t="shared" ref="B321:B326" si="119">$BA$69 &amp; " - " &amp; BA70</f>
        <v>Fortis Colosseum - Sunfire fanatic helm</v>
      </c>
      <c r="C321" s="269"/>
      <c r="D321" s="269"/>
      <c r="E321" s="269"/>
      <c r="F321" s="269"/>
      <c r="G321" s="270"/>
      <c r="H321" s="271"/>
      <c r="I321" s="269"/>
      <c r="J321" s="270"/>
      <c r="K321" s="272"/>
      <c r="L321" s="271"/>
      <c r="M321" s="269"/>
      <c r="N321" s="270"/>
      <c r="O321" s="273">
        <f t="shared" ref="O321:O326" si="120">BI70</f>
        <v>0.5</v>
      </c>
      <c r="P321" s="269"/>
      <c r="Q321" s="270"/>
      <c r="R321" s="274">
        <f t="shared" si="112"/>
        <v>0.5</v>
      </c>
      <c r="S321" s="269"/>
      <c r="T321" s="275"/>
      <c r="U321" s="2"/>
      <c r="V321" s="2"/>
      <c r="W321" s="292" t="s">
        <v>286</v>
      </c>
      <c r="X321" s="269"/>
      <c r="Y321" s="269"/>
      <c r="Z321" s="269"/>
      <c r="AA321" s="269"/>
      <c r="AB321" s="281"/>
      <c r="AC321" s="293">
        <v>3742829.0</v>
      </c>
      <c r="AD321" s="269"/>
      <c r="AE321" s="269"/>
      <c r="AF321" s="281"/>
      <c r="AG321" s="294" t="s">
        <v>190</v>
      </c>
      <c r="AH321" s="287"/>
      <c r="AI321" s="287"/>
      <c r="AJ321" s="287"/>
      <c r="AK321" s="287"/>
      <c r="AL321" s="287"/>
      <c r="AM321" s="287"/>
      <c r="AN321" s="287"/>
      <c r="AO321" s="287"/>
      <c r="AP321" s="287"/>
      <c r="AQ321" s="288"/>
      <c r="AR321" s="2"/>
      <c r="AS321" s="2"/>
      <c r="AT321" s="2"/>
      <c r="AU321" s="2"/>
      <c r="AV321" s="2"/>
      <c r="AW321" s="2"/>
      <c r="AX321" s="2"/>
      <c r="AY321" s="2"/>
      <c r="AZ321" s="2"/>
      <c r="BA321" s="2"/>
      <c r="BB321" s="2"/>
      <c r="BC321" s="2"/>
      <c r="BD321" s="2"/>
      <c r="BE321" s="2"/>
      <c r="BF321" s="2"/>
      <c r="BG321" s="2"/>
      <c r="BH321" s="2"/>
      <c r="BI321" s="2"/>
      <c r="BJ321" s="2"/>
      <c r="BK321" s="2"/>
      <c r="BL321" s="2"/>
    </row>
    <row r="322" ht="18.75" hidden="1" customHeight="1">
      <c r="A322" s="2"/>
      <c r="B322" s="268" t="str">
        <f t="shared" si="119"/>
        <v>Fortis Colosseum - Sunfire fanatic cuirass</v>
      </c>
      <c r="C322" s="269"/>
      <c r="D322" s="269"/>
      <c r="E322" s="269"/>
      <c r="F322" s="269"/>
      <c r="G322" s="270"/>
      <c r="H322" s="271"/>
      <c r="I322" s="269"/>
      <c r="J322" s="270"/>
      <c r="K322" s="272"/>
      <c r="L322" s="271"/>
      <c r="M322" s="269"/>
      <c r="N322" s="270"/>
      <c r="O322" s="273">
        <f t="shared" si="120"/>
        <v>0.5</v>
      </c>
      <c r="P322" s="269"/>
      <c r="Q322" s="270"/>
      <c r="R322" s="274">
        <f t="shared" si="112"/>
        <v>0.5</v>
      </c>
      <c r="S322" s="269"/>
      <c r="T322" s="275"/>
      <c r="U322" s="2"/>
      <c r="V322" s="2"/>
      <c r="W322" s="285" t="s">
        <v>886</v>
      </c>
      <c r="X322" s="269"/>
      <c r="Y322" s="269"/>
      <c r="Z322" s="269"/>
      <c r="AA322" s="269"/>
      <c r="AB322" s="281"/>
      <c r="AC322" s="280">
        <v>8.5643182E7</v>
      </c>
      <c r="AD322" s="269"/>
      <c r="AE322" s="269"/>
      <c r="AF322" s="281"/>
      <c r="AG322" s="289" t="s">
        <v>887</v>
      </c>
      <c r="AH322" s="287"/>
      <c r="AI322" s="287"/>
      <c r="AJ322" s="287"/>
      <c r="AK322" s="287"/>
      <c r="AL322" s="287"/>
      <c r="AM322" s="287"/>
      <c r="AN322" s="287"/>
      <c r="AO322" s="287"/>
      <c r="AP322" s="287"/>
      <c r="AQ322" s="288"/>
      <c r="AR322" s="2"/>
      <c r="AS322" s="2"/>
      <c r="AT322" s="2"/>
      <c r="AU322" s="2"/>
      <c r="AV322" s="2"/>
      <c r="AW322" s="2"/>
      <c r="AX322" s="2"/>
      <c r="AY322" s="2"/>
      <c r="AZ322" s="2"/>
      <c r="BA322" s="2"/>
      <c r="BB322" s="2"/>
      <c r="BC322" s="2"/>
      <c r="BD322" s="2"/>
      <c r="BE322" s="2"/>
      <c r="BF322" s="2"/>
      <c r="BG322" s="2"/>
      <c r="BH322" s="2"/>
      <c r="BI322" s="2"/>
      <c r="BJ322" s="2"/>
      <c r="BK322" s="2"/>
      <c r="BL322" s="2"/>
    </row>
    <row r="323" ht="18.75" hidden="1" customHeight="1">
      <c r="A323" s="2"/>
      <c r="B323" s="268" t="str">
        <f t="shared" si="119"/>
        <v>Fortis Colosseum - Sunfire fanatic chausses</v>
      </c>
      <c r="C323" s="269"/>
      <c r="D323" s="269"/>
      <c r="E323" s="269"/>
      <c r="F323" s="269"/>
      <c r="G323" s="270"/>
      <c r="H323" s="271"/>
      <c r="I323" s="269"/>
      <c r="J323" s="270"/>
      <c r="K323" s="272"/>
      <c r="L323" s="271"/>
      <c r="M323" s="269"/>
      <c r="N323" s="270"/>
      <c r="O323" s="273">
        <f t="shared" si="120"/>
        <v>0.5</v>
      </c>
      <c r="P323" s="269"/>
      <c r="Q323" s="270"/>
      <c r="R323" s="274">
        <f t="shared" si="112"/>
        <v>0.5</v>
      </c>
      <c r="S323" s="269"/>
      <c r="T323" s="275"/>
      <c r="U323" s="2"/>
      <c r="V323" s="2"/>
      <c r="W323" s="285" t="s">
        <v>888</v>
      </c>
      <c r="X323" s="269"/>
      <c r="Y323" s="269"/>
      <c r="Z323" s="269"/>
      <c r="AA323" s="269"/>
      <c r="AB323" s="281"/>
      <c r="AC323" s="280">
        <v>8.5355882E7</v>
      </c>
      <c r="AD323" s="269"/>
      <c r="AE323" s="269"/>
      <c r="AF323" s="281"/>
      <c r="AG323" s="289" t="s">
        <v>889</v>
      </c>
      <c r="AH323" s="287"/>
      <c r="AI323" s="287"/>
      <c r="AJ323" s="287"/>
      <c r="AK323" s="287"/>
      <c r="AL323" s="287"/>
      <c r="AM323" s="287"/>
      <c r="AN323" s="287"/>
      <c r="AO323" s="287"/>
      <c r="AP323" s="287"/>
      <c r="AQ323" s="288"/>
      <c r="AR323" s="2"/>
      <c r="AS323" s="2"/>
      <c r="AT323" s="2"/>
      <c r="AU323" s="2"/>
      <c r="AV323" s="2"/>
      <c r="AW323" s="2"/>
      <c r="AX323" s="2"/>
      <c r="AY323" s="2"/>
      <c r="AZ323" s="2"/>
      <c r="BA323" s="2"/>
      <c r="BB323" s="2"/>
      <c r="BC323" s="2"/>
      <c r="BD323" s="2"/>
      <c r="BE323" s="2"/>
      <c r="BF323" s="2"/>
      <c r="BG323" s="2"/>
      <c r="BH323" s="2"/>
      <c r="BI323" s="2"/>
      <c r="BJ323" s="2"/>
      <c r="BK323" s="2"/>
      <c r="BL323" s="2"/>
    </row>
    <row r="324" ht="18.75" hidden="1" customHeight="1">
      <c r="A324" s="2"/>
      <c r="B324" s="268" t="str">
        <f t="shared" si="119"/>
        <v>Fortis Colosseum - Tonalztics of ralos</v>
      </c>
      <c r="C324" s="269"/>
      <c r="D324" s="269"/>
      <c r="E324" s="269"/>
      <c r="F324" s="269"/>
      <c r="G324" s="270"/>
      <c r="H324" s="271"/>
      <c r="I324" s="269"/>
      <c r="J324" s="270"/>
      <c r="K324" s="272"/>
      <c r="L324" s="271"/>
      <c r="M324" s="269"/>
      <c r="N324" s="270"/>
      <c r="O324" s="273">
        <f t="shared" si="120"/>
        <v>1</v>
      </c>
      <c r="P324" s="269"/>
      <c r="Q324" s="270"/>
      <c r="R324" s="274">
        <f t="shared" si="112"/>
        <v>1</v>
      </c>
      <c r="S324" s="269"/>
      <c r="T324" s="275"/>
      <c r="U324" s="2"/>
      <c r="V324" s="2"/>
      <c r="W324" s="285" t="s">
        <v>890</v>
      </c>
      <c r="X324" s="269"/>
      <c r="Y324" s="269"/>
      <c r="Z324" s="269"/>
      <c r="AA324" s="269"/>
      <c r="AB324" s="281"/>
      <c r="AC324" s="280">
        <v>8.2938933E7</v>
      </c>
      <c r="AD324" s="269"/>
      <c r="AE324" s="269"/>
      <c r="AF324" s="281"/>
      <c r="AG324" s="295" t="s">
        <v>891</v>
      </c>
      <c r="AH324" s="296"/>
      <c r="AI324" s="296"/>
      <c r="AJ324" s="296"/>
      <c r="AK324" s="296"/>
      <c r="AL324" s="296"/>
      <c r="AM324" s="296"/>
      <c r="AN324" s="296"/>
      <c r="AO324" s="296"/>
      <c r="AP324" s="296"/>
      <c r="AQ324" s="297"/>
      <c r="AR324" s="2"/>
      <c r="AS324" s="2"/>
      <c r="AT324" s="2"/>
      <c r="AU324" s="2"/>
      <c r="AV324" s="2"/>
      <c r="AW324" s="2"/>
      <c r="AX324" s="2"/>
      <c r="AY324" s="2"/>
      <c r="AZ324" s="2"/>
      <c r="BA324" s="2"/>
      <c r="BB324" s="2"/>
      <c r="BC324" s="2"/>
      <c r="BD324" s="2"/>
      <c r="BE324" s="2"/>
      <c r="BF324" s="2"/>
      <c r="BG324" s="2"/>
      <c r="BH324" s="2"/>
      <c r="BI324" s="2"/>
      <c r="BJ324" s="2"/>
      <c r="BK324" s="2"/>
      <c r="BL324" s="2"/>
    </row>
    <row r="325" ht="18.75" hidden="1" customHeight="1">
      <c r="A325" s="2"/>
      <c r="B325" s="268" t="str">
        <f t="shared" si="119"/>
        <v>Fortis Colosseum - Echo crystal(s) (1-3)</v>
      </c>
      <c r="C325" s="269"/>
      <c r="D325" s="269"/>
      <c r="E325" s="269"/>
      <c r="F325" s="269"/>
      <c r="G325" s="270"/>
      <c r="H325" s="271"/>
      <c r="I325" s="269"/>
      <c r="J325" s="270"/>
      <c r="K325" s="272"/>
      <c r="L325" s="271"/>
      <c r="M325" s="269"/>
      <c r="N325" s="270"/>
      <c r="O325" s="273">
        <f t="shared" si="120"/>
        <v>0.5</v>
      </c>
      <c r="P325" s="269"/>
      <c r="Q325" s="270"/>
      <c r="R325" s="274">
        <f t="shared" si="112"/>
        <v>0.5</v>
      </c>
      <c r="S325" s="269"/>
      <c r="T325" s="275"/>
      <c r="U325" s="2"/>
      <c r="V325" s="2"/>
      <c r="W325" s="285" t="s">
        <v>418</v>
      </c>
      <c r="X325" s="269"/>
      <c r="Y325" s="269"/>
      <c r="Z325" s="269"/>
      <c r="AA325" s="269"/>
      <c r="AB325" s="281"/>
      <c r="AC325" s="280">
        <v>2.1312126E7</v>
      </c>
      <c r="AD325" s="269"/>
      <c r="AE325" s="269"/>
      <c r="AF325" s="281"/>
      <c r="AG325" s="295" t="s">
        <v>175</v>
      </c>
      <c r="AH325" s="296"/>
      <c r="AI325" s="296"/>
      <c r="AJ325" s="296"/>
      <c r="AK325" s="296"/>
      <c r="AL325" s="296"/>
      <c r="AM325" s="296"/>
      <c r="AN325" s="296"/>
      <c r="AO325" s="296"/>
      <c r="AP325" s="296"/>
      <c r="AQ325" s="297"/>
      <c r="AR325" s="2"/>
      <c r="AS325" s="2"/>
      <c r="AT325" s="2"/>
      <c r="AU325" s="2"/>
      <c r="AV325" s="2"/>
      <c r="AW325" s="2"/>
      <c r="AX325" s="2"/>
      <c r="AY325" s="2"/>
      <c r="AZ325" s="2"/>
      <c r="BA325" s="2"/>
      <c r="BB325" s="2"/>
      <c r="BC325" s="2"/>
      <c r="BD325" s="2"/>
      <c r="BE325" s="2"/>
      <c r="BF325" s="2"/>
      <c r="BG325" s="2"/>
      <c r="BH325" s="2"/>
      <c r="BI325" s="2"/>
      <c r="BJ325" s="2"/>
      <c r="BK325" s="2"/>
      <c r="BL325" s="2"/>
    </row>
    <row r="326" ht="18.75" hidden="1" customHeight="1">
      <c r="A326" s="2"/>
      <c r="B326" s="268" t="str">
        <f t="shared" si="119"/>
        <v>Fortis Colosseum - Smol Heredit</v>
      </c>
      <c r="C326" s="269"/>
      <c r="D326" s="269"/>
      <c r="E326" s="269"/>
      <c r="F326" s="269"/>
      <c r="G326" s="270"/>
      <c r="H326" s="271"/>
      <c r="I326" s="269"/>
      <c r="J326" s="270"/>
      <c r="K326" s="272"/>
      <c r="L326" s="271"/>
      <c r="M326" s="269"/>
      <c r="N326" s="270"/>
      <c r="O326" s="273">
        <f t="shared" si="120"/>
        <v>1</v>
      </c>
      <c r="P326" s="269"/>
      <c r="Q326" s="270"/>
      <c r="R326" s="274">
        <f t="shared" si="112"/>
        <v>1</v>
      </c>
      <c r="S326" s="269"/>
      <c r="T326" s="275"/>
      <c r="U326" s="2"/>
      <c r="V326" s="2"/>
      <c r="W326" s="285" t="s">
        <v>428</v>
      </c>
      <c r="X326" s="269"/>
      <c r="Y326" s="269"/>
      <c r="Z326" s="269"/>
      <c r="AA326" s="269"/>
      <c r="AB326" s="281"/>
      <c r="AC326" s="280">
        <v>2771913.0</v>
      </c>
      <c r="AD326" s="269"/>
      <c r="AE326" s="269"/>
      <c r="AF326" s="281"/>
      <c r="AG326" s="295" t="s">
        <v>892</v>
      </c>
      <c r="AH326" s="296"/>
      <c r="AI326" s="296"/>
      <c r="AJ326" s="296"/>
      <c r="AK326" s="296"/>
      <c r="AL326" s="296"/>
      <c r="AM326" s="296"/>
      <c r="AN326" s="296"/>
      <c r="AO326" s="296"/>
      <c r="AP326" s="296"/>
      <c r="AQ326" s="297"/>
      <c r="AR326" s="2"/>
      <c r="AS326" s="2"/>
      <c r="AT326" s="2"/>
      <c r="AU326" s="2"/>
      <c r="AV326" s="2"/>
      <c r="AW326" s="2"/>
      <c r="AX326" s="2"/>
      <c r="AY326" s="2"/>
      <c r="AZ326" s="2"/>
      <c r="BA326" s="2"/>
      <c r="BB326" s="2"/>
      <c r="BC326" s="2"/>
      <c r="BD326" s="2"/>
      <c r="BE326" s="2"/>
      <c r="BF326" s="2"/>
      <c r="BG326" s="2"/>
      <c r="BH326" s="2"/>
      <c r="BI326" s="2"/>
      <c r="BJ326" s="2"/>
      <c r="BK326" s="2"/>
      <c r="BL326" s="2"/>
    </row>
    <row r="327" ht="18.75" hidden="1" customHeight="1">
      <c r="A327" s="2"/>
      <c r="B327" s="268" t="str">
        <f t="shared" ref="B327:B328" si="121">$C$69 &amp; " - " &amp; C71</f>
        <v>Jar/Pet - Jar</v>
      </c>
      <c r="C327" s="269"/>
      <c r="D327" s="269"/>
      <c r="E327" s="269"/>
      <c r="F327" s="269"/>
      <c r="G327" s="270"/>
      <c r="H327" s="271"/>
      <c r="I327" s="269"/>
      <c r="J327" s="270"/>
      <c r="K327" s="272"/>
      <c r="L327" s="271"/>
      <c r="M327" s="269"/>
      <c r="N327" s="270"/>
      <c r="O327" s="273">
        <f t="shared" ref="O327:O328" si="122">K71</f>
        <v>2</v>
      </c>
      <c r="P327" s="269"/>
      <c r="Q327" s="270"/>
      <c r="R327" s="274">
        <f t="shared" si="112"/>
        <v>2</v>
      </c>
      <c r="S327" s="269"/>
      <c r="T327" s="275"/>
      <c r="U327" s="2"/>
      <c r="V327" s="2"/>
      <c r="W327" s="285" t="s">
        <v>424</v>
      </c>
      <c r="X327" s="269"/>
      <c r="Y327" s="269"/>
      <c r="Z327" s="269"/>
      <c r="AA327" s="269"/>
      <c r="AB327" s="281"/>
      <c r="AC327" s="280">
        <v>90013.0</v>
      </c>
      <c r="AD327" s="269"/>
      <c r="AE327" s="269"/>
      <c r="AF327" s="281"/>
      <c r="AG327" s="295" t="s">
        <v>893</v>
      </c>
      <c r="AH327" s="296"/>
      <c r="AI327" s="296"/>
      <c r="AJ327" s="296"/>
      <c r="AK327" s="296"/>
      <c r="AL327" s="296"/>
      <c r="AM327" s="296"/>
      <c r="AN327" s="296"/>
      <c r="AO327" s="296"/>
      <c r="AP327" s="296"/>
      <c r="AQ327" s="297"/>
      <c r="AR327" s="2"/>
      <c r="AS327" s="2"/>
      <c r="AT327" s="2"/>
      <c r="AU327" s="2"/>
      <c r="AV327" s="2"/>
      <c r="AW327" s="2"/>
      <c r="AX327" s="2"/>
      <c r="AY327" s="2"/>
      <c r="AZ327" s="2"/>
      <c r="BA327" s="2"/>
      <c r="BB327" s="2"/>
      <c r="BC327" s="2"/>
      <c r="BD327" s="2"/>
      <c r="BE327" s="2"/>
      <c r="BF327" s="2"/>
      <c r="BG327" s="2"/>
      <c r="BH327" s="2"/>
      <c r="BI327" s="2"/>
      <c r="BJ327" s="2"/>
      <c r="BK327" s="2"/>
      <c r="BL327" s="2"/>
    </row>
    <row r="328" ht="18.75" hidden="1" customHeight="1">
      <c r="A328" s="2"/>
      <c r="B328" s="268" t="str">
        <f t="shared" si="121"/>
        <v>Jar/Pet - Pet</v>
      </c>
      <c r="C328" s="269"/>
      <c r="D328" s="269"/>
      <c r="E328" s="269"/>
      <c r="F328" s="269"/>
      <c r="G328" s="270"/>
      <c r="H328" s="271"/>
      <c r="I328" s="269"/>
      <c r="J328" s="270"/>
      <c r="K328" s="272"/>
      <c r="L328" s="271"/>
      <c r="M328" s="269"/>
      <c r="N328" s="270"/>
      <c r="O328" s="273">
        <f t="shared" si="122"/>
        <v>2</v>
      </c>
      <c r="P328" s="269"/>
      <c r="Q328" s="270"/>
      <c r="R328" s="274">
        <f t="shared" si="112"/>
        <v>2</v>
      </c>
      <c r="S328" s="269"/>
      <c r="T328" s="275"/>
      <c r="U328" s="2"/>
      <c r="V328" s="2"/>
      <c r="W328" s="285" t="s">
        <v>414</v>
      </c>
      <c r="X328" s="269"/>
      <c r="Y328" s="269"/>
      <c r="Z328" s="269"/>
      <c r="AA328" s="269"/>
      <c r="AB328" s="281"/>
      <c r="AC328" s="280">
        <v>9592278.0</v>
      </c>
      <c r="AD328" s="269"/>
      <c r="AE328" s="269"/>
      <c r="AF328" s="281"/>
      <c r="AG328" s="295" t="s">
        <v>203</v>
      </c>
      <c r="AH328" s="296"/>
      <c r="AI328" s="296"/>
      <c r="AJ328" s="296"/>
      <c r="AK328" s="296"/>
      <c r="AL328" s="296"/>
      <c r="AM328" s="296"/>
      <c r="AN328" s="296"/>
      <c r="AO328" s="296"/>
      <c r="AP328" s="296"/>
      <c r="AQ328" s="297"/>
      <c r="AR328" s="2"/>
      <c r="AS328" s="2"/>
      <c r="AT328" s="2"/>
      <c r="AU328" s="2"/>
      <c r="AV328" s="2"/>
      <c r="AW328" s="2"/>
      <c r="AX328" s="2"/>
      <c r="AY328" s="2"/>
      <c r="AZ328" s="2"/>
      <c r="BA328" s="2"/>
      <c r="BB328" s="2"/>
      <c r="BC328" s="2"/>
      <c r="BD328" s="2"/>
      <c r="BE328" s="2"/>
      <c r="BF328" s="2"/>
      <c r="BG328" s="2"/>
      <c r="BH328" s="2"/>
      <c r="BI328" s="2"/>
      <c r="BJ328" s="2"/>
      <c r="BK328" s="2"/>
      <c r="BL328" s="2"/>
    </row>
    <row r="329" ht="18.75" hidden="1" customHeight="1">
      <c r="A329" s="2"/>
      <c r="B329" s="2"/>
      <c r="C329" s="2"/>
      <c r="D329" s="2"/>
      <c r="E329" s="2"/>
      <c r="F329" s="2"/>
      <c r="G329" s="2"/>
      <c r="H329" s="2"/>
      <c r="I329" s="2"/>
      <c r="J329" s="2"/>
      <c r="K329" s="2"/>
      <c r="L329" s="2"/>
      <c r="M329" s="2"/>
      <c r="N329" s="2"/>
      <c r="O329" s="2"/>
      <c r="P329" s="2"/>
      <c r="Q329" s="2"/>
      <c r="R329" s="2"/>
      <c r="S329" s="2"/>
      <c r="T329" s="2"/>
      <c r="U329" s="2"/>
      <c r="V329" s="2"/>
      <c r="W329" s="285" t="s">
        <v>420</v>
      </c>
      <c r="X329" s="269"/>
      <c r="Y329" s="269"/>
      <c r="Z329" s="269"/>
      <c r="AA329" s="269"/>
      <c r="AB329" s="281"/>
      <c r="AC329" s="280">
        <v>3148463.0</v>
      </c>
      <c r="AD329" s="269"/>
      <c r="AE329" s="269"/>
      <c r="AF329" s="281"/>
      <c r="AG329" s="295" t="s">
        <v>223</v>
      </c>
      <c r="AH329" s="296"/>
      <c r="AI329" s="296"/>
      <c r="AJ329" s="296"/>
      <c r="AK329" s="296"/>
      <c r="AL329" s="296"/>
      <c r="AM329" s="296"/>
      <c r="AN329" s="296"/>
      <c r="AO329" s="296"/>
      <c r="AP329" s="296"/>
      <c r="AQ329" s="297"/>
      <c r="AR329" s="2"/>
      <c r="AS329" s="2"/>
      <c r="AT329" s="2"/>
      <c r="AU329" s="2"/>
      <c r="AV329" s="2"/>
      <c r="AW329" s="2"/>
      <c r="AX329" s="2"/>
      <c r="AY329" s="2"/>
      <c r="AZ329" s="2"/>
      <c r="BA329" s="2"/>
      <c r="BB329" s="2"/>
      <c r="BC329" s="2"/>
      <c r="BD329" s="2"/>
      <c r="BE329" s="2"/>
      <c r="BF329" s="2"/>
      <c r="BG329" s="2"/>
      <c r="BH329" s="2"/>
      <c r="BI329" s="2"/>
      <c r="BJ329" s="2"/>
      <c r="BK329" s="2"/>
      <c r="BL329" s="2"/>
    </row>
    <row r="330" ht="18.75" hidden="1" customHeight="1">
      <c r="A330" s="2"/>
      <c r="B330" s="2"/>
      <c r="C330" s="2"/>
      <c r="D330" s="2"/>
      <c r="E330" s="2"/>
      <c r="F330" s="2"/>
      <c r="G330" s="2"/>
      <c r="H330" s="2"/>
      <c r="I330" s="2"/>
      <c r="J330" s="2"/>
      <c r="K330" s="2"/>
      <c r="L330" s="2"/>
      <c r="M330" s="2"/>
      <c r="N330" s="2"/>
      <c r="O330" s="2"/>
      <c r="P330" s="2"/>
      <c r="Q330" s="2"/>
      <c r="R330" s="2"/>
      <c r="S330" s="2"/>
      <c r="T330" s="2"/>
      <c r="U330" s="2"/>
      <c r="V330" s="2"/>
      <c r="W330" s="285" t="s">
        <v>426</v>
      </c>
      <c r="X330" s="269"/>
      <c r="Y330" s="269"/>
      <c r="Z330" s="269"/>
      <c r="AA330" s="269"/>
      <c r="AB330" s="281"/>
      <c r="AC330" s="280">
        <v>3105512.0</v>
      </c>
      <c r="AD330" s="269"/>
      <c r="AE330" s="269"/>
      <c r="AF330" s="281"/>
      <c r="AG330" s="295" t="s">
        <v>222</v>
      </c>
      <c r="AH330" s="296"/>
      <c r="AI330" s="296"/>
      <c r="AJ330" s="296"/>
      <c r="AK330" s="296"/>
      <c r="AL330" s="296"/>
      <c r="AM330" s="296"/>
      <c r="AN330" s="296"/>
      <c r="AO330" s="296"/>
      <c r="AP330" s="296"/>
      <c r="AQ330" s="297"/>
      <c r="AR330" s="2"/>
      <c r="AS330" s="2"/>
      <c r="AT330" s="2"/>
      <c r="AU330" s="2"/>
      <c r="AV330" s="2"/>
      <c r="AW330" s="2"/>
      <c r="AX330" s="2"/>
      <c r="AY330" s="2"/>
      <c r="AZ330" s="2"/>
      <c r="BA330" s="2"/>
      <c r="BB330" s="2"/>
      <c r="BC330" s="2"/>
      <c r="BD330" s="2"/>
      <c r="BE330" s="2"/>
      <c r="BF330" s="2"/>
      <c r="BG330" s="2"/>
      <c r="BH330" s="2"/>
      <c r="BI330" s="2"/>
      <c r="BJ330" s="2"/>
      <c r="BK330" s="2"/>
      <c r="BL330" s="2"/>
    </row>
    <row r="331" ht="18.75" hidden="1" customHeight="1">
      <c r="A331" s="2"/>
      <c r="B331" s="2"/>
      <c r="C331" s="2"/>
      <c r="D331" s="2"/>
      <c r="E331" s="2"/>
      <c r="F331" s="2"/>
      <c r="G331" s="2"/>
      <c r="H331" s="2"/>
      <c r="I331" s="2"/>
      <c r="J331" s="2"/>
      <c r="K331" s="2"/>
      <c r="L331" s="2"/>
      <c r="M331" s="2"/>
      <c r="N331" s="2"/>
      <c r="O331" s="2"/>
      <c r="P331" s="2"/>
      <c r="Q331" s="2"/>
      <c r="R331" s="2"/>
      <c r="S331" s="2"/>
      <c r="T331" s="2"/>
      <c r="U331" s="2"/>
      <c r="V331" s="2"/>
      <c r="W331" s="285" t="s">
        <v>428</v>
      </c>
      <c r="X331" s="269"/>
      <c r="Y331" s="269"/>
      <c r="Z331" s="269"/>
      <c r="AA331" s="269"/>
      <c r="AB331" s="281"/>
      <c r="AC331" s="280">
        <v>2771913.0</v>
      </c>
      <c r="AD331" s="269"/>
      <c r="AE331" s="269"/>
      <c r="AF331" s="281"/>
      <c r="AG331" s="295" t="s">
        <v>204</v>
      </c>
      <c r="AH331" s="296"/>
      <c r="AI331" s="296"/>
      <c r="AJ331" s="296"/>
      <c r="AK331" s="296"/>
      <c r="AL331" s="296"/>
      <c r="AM331" s="296"/>
      <c r="AN331" s="296"/>
      <c r="AO331" s="296"/>
      <c r="AP331" s="296"/>
      <c r="AQ331" s="297"/>
      <c r="AR331" s="2"/>
      <c r="AS331" s="2"/>
      <c r="AT331" s="2"/>
      <c r="AU331" s="2"/>
      <c r="AV331" s="2"/>
      <c r="AW331" s="2"/>
      <c r="AX331" s="2"/>
      <c r="AY331" s="2"/>
      <c r="AZ331" s="2"/>
      <c r="BA331" s="2"/>
      <c r="BB331" s="2"/>
      <c r="BC331" s="2"/>
      <c r="BD331" s="2"/>
      <c r="BE331" s="2"/>
      <c r="BF331" s="2"/>
      <c r="BG331" s="2"/>
      <c r="BH331" s="2"/>
      <c r="BI331" s="2"/>
      <c r="BJ331" s="2"/>
      <c r="BK331" s="2"/>
      <c r="BL331" s="2"/>
    </row>
    <row r="332" ht="18.75" hidden="1"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row>
  </sheetData>
  <mergeCells count="3078">
    <mergeCell ref="AB50:AD50"/>
    <mergeCell ref="AB51:AD51"/>
    <mergeCell ref="W52:Z52"/>
    <mergeCell ref="AB52:AD52"/>
    <mergeCell ref="AE52:AF52"/>
    <mergeCell ref="AG52:AH52"/>
    <mergeCell ref="AI52:AK52"/>
    <mergeCell ref="C50:F50"/>
    <mergeCell ref="H50:J50"/>
    <mergeCell ref="K50:L50"/>
    <mergeCell ref="W50:Z50"/>
    <mergeCell ref="AE50:AF50"/>
    <mergeCell ref="AG50:AJ50"/>
    <mergeCell ref="W51:Z51"/>
    <mergeCell ref="AI53:AK53"/>
    <mergeCell ref="AL53:AM53"/>
    <mergeCell ref="AN53:AP53"/>
    <mergeCell ref="AQ53:AU53"/>
    <mergeCell ref="AV53:AX53"/>
    <mergeCell ref="AY53:AZ53"/>
    <mergeCell ref="C53:G53"/>
    <mergeCell ref="K53:L53"/>
    <mergeCell ref="AB53:AD53"/>
    <mergeCell ref="AE53:AF53"/>
    <mergeCell ref="AG53:AH53"/>
    <mergeCell ref="C54:F54"/>
    <mergeCell ref="K54:L54"/>
    <mergeCell ref="AG54:AH54"/>
    <mergeCell ref="AB54:AD54"/>
    <mergeCell ref="AE54:AF54"/>
    <mergeCell ref="AI54:AK54"/>
    <mergeCell ref="AL54:AM54"/>
    <mergeCell ref="AN54:AP54"/>
    <mergeCell ref="AV54:AX54"/>
    <mergeCell ref="AY54:AZ54"/>
    <mergeCell ref="AB58:AD58"/>
    <mergeCell ref="AB59:AD59"/>
    <mergeCell ref="AQ59:AT59"/>
    <mergeCell ref="AV59:AX59"/>
    <mergeCell ref="AY59:AZ59"/>
    <mergeCell ref="AQ60:AT60"/>
    <mergeCell ref="AV60:AX60"/>
    <mergeCell ref="AY60:AZ60"/>
    <mergeCell ref="W59:Z59"/>
    <mergeCell ref="W60:Z60"/>
    <mergeCell ref="AB60:AD60"/>
    <mergeCell ref="AE60:AF60"/>
    <mergeCell ref="H53:J53"/>
    <mergeCell ref="H54:J54"/>
    <mergeCell ref="C55:F55"/>
    <mergeCell ref="H55:J55"/>
    <mergeCell ref="K55:L55"/>
    <mergeCell ref="H56:J56"/>
    <mergeCell ref="K56:L56"/>
    <mergeCell ref="M69:T69"/>
    <mergeCell ref="U69:V69"/>
    <mergeCell ref="C70:G70"/>
    <mergeCell ref="H70:J70"/>
    <mergeCell ref="K70:L70"/>
    <mergeCell ref="M70:Q70"/>
    <mergeCell ref="R70:T70"/>
    <mergeCell ref="U70:V70"/>
    <mergeCell ref="C56:F56"/>
    <mergeCell ref="C57:F57"/>
    <mergeCell ref="H57:J57"/>
    <mergeCell ref="K57:L57"/>
    <mergeCell ref="C58:L58"/>
    <mergeCell ref="C69:J69"/>
    <mergeCell ref="K69:L69"/>
    <mergeCell ref="R71:T71"/>
    <mergeCell ref="R72:T72"/>
    <mergeCell ref="R73:T73"/>
    <mergeCell ref="U73:V73"/>
    <mergeCell ref="R74:V74"/>
    <mergeCell ref="R75:V75"/>
    <mergeCell ref="R76:V76"/>
    <mergeCell ref="C71:F71"/>
    <mergeCell ref="H71:J71"/>
    <mergeCell ref="K71:L71"/>
    <mergeCell ref="M71:P71"/>
    <mergeCell ref="U71:V71"/>
    <mergeCell ref="C72:F72"/>
    <mergeCell ref="M72:P72"/>
    <mergeCell ref="U72:V72"/>
    <mergeCell ref="H72:J72"/>
    <mergeCell ref="K72:L72"/>
    <mergeCell ref="C73:L73"/>
    <mergeCell ref="M73:P73"/>
    <mergeCell ref="M74:Q74"/>
    <mergeCell ref="M75:Q75"/>
    <mergeCell ref="M76:Q76"/>
    <mergeCell ref="BF44:BH44"/>
    <mergeCell ref="BI44:BJ44"/>
    <mergeCell ref="AB44:AD44"/>
    <mergeCell ref="AE44:AF44"/>
    <mergeCell ref="AG44:AJ44"/>
    <mergeCell ref="AL44:AN44"/>
    <mergeCell ref="AO44:AP44"/>
    <mergeCell ref="AQ44:AW44"/>
    <mergeCell ref="BA44:BD44"/>
    <mergeCell ref="H44:J44"/>
    <mergeCell ref="H45:J45"/>
    <mergeCell ref="C46:F46"/>
    <mergeCell ref="H46:J46"/>
    <mergeCell ref="C44:G44"/>
    <mergeCell ref="K44:L44"/>
    <mergeCell ref="M44:P44"/>
    <mergeCell ref="R44:T44"/>
    <mergeCell ref="U44:V44"/>
    <mergeCell ref="W44:Z44"/>
    <mergeCell ref="C45:F45"/>
    <mergeCell ref="AV45:AX45"/>
    <mergeCell ref="AY45:AZ45"/>
    <mergeCell ref="BA45:BD45"/>
    <mergeCell ref="BF45:BH45"/>
    <mergeCell ref="BI45:BJ45"/>
    <mergeCell ref="W45:Z45"/>
    <mergeCell ref="AB45:AD45"/>
    <mergeCell ref="AE45:AF45"/>
    <mergeCell ref="AG45:AJ45"/>
    <mergeCell ref="AL45:AN45"/>
    <mergeCell ref="AO45:AP45"/>
    <mergeCell ref="AQ45:AU45"/>
    <mergeCell ref="BA46:BB46"/>
    <mergeCell ref="BC46:BE46"/>
    <mergeCell ref="BF46:BG46"/>
    <mergeCell ref="BH46:BJ46"/>
    <mergeCell ref="AD46:AF46"/>
    <mergeCell ref="AG46:AJ46"/>
    <mergeCell ref="AL46:AN46"/>
    <mergeCell ref="AO46:AP46"/>
    <mergeCell ref="AQ46:AT46"/>
    <mergeCell ref="AV46:AX46"/>
    <mergeCell ref="AY46:AZ46"/>
    <mergeCell ref="R45:T45"/>
    <mergeCell ref="U45:V45"/>
    <mergeCell ref="R46:T46"/>
    <mergeCell ref="U46:V46"/>
    <mergeCell ref="W46:X46"/>
    <mergeCell ref="Y46:AA46"/>
    <mergeCell ref="AB46:AC46"/>
    <mergeCell ref="AV47:AX47"/>
    <mergeCell ref="AY47:AZ47"/>
    <mergeCell ref="BA47:BG47"/>
    <mergeCell ref="R47:T47"/>
    <mergeCell ref="U47:V47"/>
    <mergeCell ref="W47:AC47"/>
    <mergeCell ref="AG47:AJ47"/>
    <mergeCell ref="AL47:AN47"/>
    <mergeCell ref="AO47:AP47"/>
    <mergeCell ref="AQ47:AT47"/>
    <mergeCell ref="K45:L45"/>
    <mergeCell ref="M45:P45"/>
    <mergeCell ref="K46:L46"/>
    <mergeCell ref="M46:P46"/>
    <mergeCell ref="H47:J47"/>
    <mergeCell ref="K47:L47"/>
    <mergeCell ref="M47:P47"/>
    <mergeCell ref="AQ48:AT48"/>
    <mergeCell ref="AV48:AX48"/>
    <mergeCell ref="AY48:AZ48"/>
    <mergeCell ref="BA48:BE48"/>
    <mergeCell ref="BF48:BH48"/>
    <mergeCell ref="BI48:BJ48"/>
    <mergeCell ref="T48:V48"/>
    <mergeCell ref="W48:AA48"/>
    <mergeCell ref="AB48:AD48"/>
    <mergeCell ref="AE48:AF48"/>
    <mergeCell ref="AG48:AJ48"/>
    <mergeCell ref="AL48:AN48"/>
    <mergeCell ref="AO48:AP48"/>
    <mergeCell ref="AQ49:AT49"/>
    <mergeCell ref="AV49:AX49"/>
    <mergeCell ref="AY49:AZ49"/>
    <mergeCell ref="BA49:BD49"/>
    <mergeCell ref="BF49:BH49"/>
    <mergeCell ref="BI49:BJ49"/>
    <mergeCell ref="K49:L49"/>
    <mergeCell ref="W49:Z49"/>
    <mergeCell ref="AB49:AD49"/>
    <mergeCell ref="AE49:AF49"/>
    <mergeCell ref="AG49:AJ49"/>
    <mergeCell ref="AL49:AN49"/>
    <mergeCell ref="AO49:AP49"/>
    <mergeCell ref="H48:J48"/>
    <mergeCell ref="H49:J49"/>
    <mergeCell ref="C51:D51"/>
    <mergeCell ref="E51:G51"/>
    <mergeCell ref="H51:I51"/>
    <mergeCell ref="J51:L51"/>
    <mergeCell ref="C52:I52"/>
    <mergeCell ref="C47:F47"/>
    <mergeCell ref="C48:F48"/>
    <mergeCell ref="K48:L48"/>
    <mergeCell ref="M48:N48"/>
    <mergeCell ref="O48:Q48"/>
    <mergeCell ref="R48:S48"/>
    <mergeCell ref="C49:F49"/>
    <mergeCell ref="BF50:BH50"/>
    <mergeCell ref="BI50:BJ50"/>
    <mergeCell ref="AL50:AN50"/>
    <mergeCell ref="AO50:AP50"/>
    <mergeCell ref="AQ50:AR50"/>
    <mergeCell ref="AS50:AU50"/>
    <mergeCell ref="AV50:AW50"/>
    <mergeCell ref="AX50:AZ50"/>
    <mergeCell ref="BA50:BD50"/>
    <mergeCell ref="AX51:AZ51"/>
    <mergeCell ref="BA51:BD51"/>
    <mergeCell ref="BF51:BH51"/>
    <mergeCell ref="BI51:BJ51"/>
    <mergeCell ref="AE51:AF51"/>
    <mergeCell ref="AG51:AJ51"/>
    <mergeCell ref="AL51:AN51"/>
    <mergeCell ref="AO51:AP51"/>
    <mergeCell ref="AQ51:AR51"/>
    <mergeCell ref="AS51:AU51"/>
    <mergeCell ref="AV51:AW51"/>
    <mergeCell ref="AL52:AM52"/>
    <mergeCell ref="AN52:AP52"/>
    <mergeCell ref="AQ52:AW52"/>
    <mergeCell ref="BA52:BB52"/>
    <mergeCell ref="BC52:BE52"/>
    <mergeCell ref="BF52:BG52"/>
    <mergeCell ref="BH52:BJ52"/>
    <mergeCell ref="AQ54:AT54"/>
    <mergeCell ref="AQ55:AT55"/>
    <mergeCell ref="AV55:AX55"/>
    <mergeCell ref="AY55:AZ55"/>
    <mergeCell ref="AQ56:AT56"/>
    <mergeCell ref="AV56:AX56"/>
    <mergeCell ref="AY56:AZ56"/>
    <mergeCell ref="AQ57:AZ57"/>
    <mergeCell ref="AQ58:AW58"/>
    <mergeCell ref="AQ61:AT61"/>
    <mergeCell ref="AV61:AX61"/>
    <mergeCell ref="AY61:AZ61"/>
    <mergeCell ref="AV62:AX62"/>
    <mergeCell ref="AY62:AZ62"/>
    <mergeCell ref="AQ62:AT62"/>
    <mergeCell ref="AQ63:AT63"/>
    <mergeCell ref="AV63:AX63"/>
    <mergeCell ref="AY63:AZ63"/>
    <mergeCell ref="AQ64:AT64"/>
    <mergeCell ref="AV64:AX64"/>
    <mergeCell ref="AY64:AZ64"/>
    <mergeCell ref="AS66:AU66"/>
    <mergeCell ref="AQ69:AX69"/>
    <mergeCell ref="AY69:AZ69"/>
    <mergeCell ref="BA69:BH69"/>
    <mergeCell ref="BI69:BJ69"/>
    <mergeCell ref="AQ65:AR65"/>
    <mergeCell ref="AS65:AU65"/>
    <mergeCell ref="AV65:AW65"/>
    <mergeCell ref="AX65:AZ65"/>
    <mergeCell ref="AQ66:AR66"/>
    <mergeCell ref="AV66:AW66"/>
    <mergeCell ref="AX66:AZ66"/>
    <mergeCell ref="BF74:BH74"/>
    <mergeCell ref="BI74:BJ74"/>
    <mergeCell ref="BA76:BE76"/>
    <mergeCell ref="BF76:BJ76"/>
    <mergeCell ref="BA77:BE77"/>
    <mergeCell ref="BF77:BJ77"/>
    <mergeCell ref="AL73:AN73"/>
    <mergeCell ref="AL74:AN74"/>
    <mergeCell ref="AO74:AP74"/>
    <mergeCell ref="AQ74:AT74"/>
    <mergeCell ref="AV74:AX74"/>
    <mergeCell ref="AY74:AZ74"/>
    <mergeCell ref="BA74:BD74"/>
    <mergeCell ref="AE75:AF75"/>
    <mergeCell ref="AG75:AJ75"/>
    <mergeCell ref="AO75:AP75"/>
    <mergeCell ref="AQ75:AU75"/>
    <mergeCell ref="AV75:AZ75"/>
    <mergeCell ref="BA75:BD75"/>
    <mergeCell ref="BF75:BH75"/>
    <mergeCell ref="BI75:BJ75"/>
    <mergeCell ref="W75:Z75"/>
    <mergeCell ref="W76:Z76"/>
    <mergeCell ref="AL71:AN71"/>
    <mergeCell ref="AL72:AN72"/>
    <mergeCell ref="AG73:AJ73"/>
    <mergeCell ref="W74:Z74"/>
    <mergeCell ref="AE74:AF74"/>
    <mergeCell ref="AG74:AJ74"/>
    <mergeCell ref="AL75:AN75"/>
    <mergeCell ref="AG77:AK77"/>
    <mergeCell ref="AL77:AP77"/>
    <mergeCell ref="AL78:AN78"/>
    <mergeCell ref="AG83:AQ83"/>
    <mergeCell ref="AB74:AD74"/>
    <mergeCell ref="AB75:AD75"/>
    <mergeCell ref="AB76:AD76"/>
    <mergeCell ref="AE76:AF76"/>
    <mergeCell ref="AG76:AJ76"/>
    <mergeCell ref="AL76:AN76"/>
    <mergeCell ref="AO76:AP76"/>
    <mergeCell ref="AG70:AJ70"/>
    <mergeCell ref="AL70:AN70"/>
    <mergeCell ref="AQ70:AT70"/>
    <mergeCell ref="AV70:AX70"/>
    <mergeCell ref="AY70:AZ70"/>
    <mergeCell ref="BA70:BD70"/>
    <mergeCell ref="BF70:BH70"/>
    <mergeCell ref="BI70:BJ70"/>
    <mergeCell ref="W69:AD69"/>
    <mergeCell ref="AE69:AF69"/>
    <mergeCell ref="AG69:AN69"/>
    <mergeCell ref="AO69:AP69"/>
    <mergeCell ref="W70:Z70"/>
    <mergeCell ref="AB70:AD70"/>
    <mergeCell ref="AO70:AP70"/>
    <mergeCell ref="BA71:BD71"/>
    <mergeCell ref="BF71:BH71"/>
    <mergeCell ref="BI71:BJ71"/>
    <mergeCell ref="AV72:AX72"/>
    <mergeCell ref="AY72:AZ72"/>
    <mergeCell ref="BA72:BD72"/>
    <mergeCell ref="BF72:BH72"/>
    <mergeCell ref="BI72:BJ72"/>
    <mergeCell ref="AE70:AF70"/>
    <mergeCell ref="AG71:AJ71"/>
    <mergeCell ref="AO71:AP71"/>
    <mergeCell ref="AQ71:AT71"/>
    <mergeCell ref="AV71:AX71"/>
    <mergeCell ref="AY71:AZ71"/>
    <mergeCell ref="AG72:AJ72"/>
    <mergeCell ref="BF73:BH73"/>
    <mergeCell ref="BI73:BJ73"/>
    <mergeCell ref="AO72:AP72"/>
    <mergeCell ref="AQ72:AT72"/>
    <mergeCell ref="AO73:AP73"/>
    <mergeCell ref="AQ73:AT73"/>
    <mergeCell ref="AV73:AX73"/>
    <mergeCell ref="AY73:AZ73"/>
    <mergeCell ref="BA73:BD73"/>
    <mergeCell ref="AC87:AF87"/>
    <mergeCell ref="AG87:AQ87"/>
    <mergeCell ref="H88:J88"/>
    <mergeCell ref="L88:N88"/>
    <mergeCell ref="O88:Q88"/>
    <mergeCell ref="R88:T88"/>
    <mergeCell ref="W88:AB88"/>
    <mergeCell ref="AC88:AF88"/>
    <mergeCell ref="AG88:AQ88"/>
    <mergeCell ref="B86:G86"/>
    <mergeCell ref="B87:G87"/>
    <mergeCell ref="H87:J87"/>
    <mergeCell ref="L87:N87"/>
    <mergeCell ref="O87:Q87"/>
    <mergeCell ref="R87:T87"/>
    <mergeCell ref="W87:AB87"/>
    <mergeCell ref="B88:G88"/>
    <mergeCell ref="B89:G89"/>
    <mergeCell ref="H89:J89"/>
    <mergeCell ref="L89:N89"/>
    <mergeCell ref="O89:Q89"/>
    <mergeCell ref="R89:T89"/>
    <mergeCell ref="W89:AB89"/>
    <mergeCell ref="B83:G83"/>
    <mergeCell ref="H83:J83"/>
    <mergeCell ref="L83:N83"/>
    <mergeCell ref="O83:Q83"/>
    <mergeCell ref="R83:T83"/>
    <mergeCell ref="W83:AB83"/>
    <mergeCell ref="AC83:AF83"/>
    <mergeCell ref="H84:J84"/>
    <mergeCell ref="L84:N84"/>
    <mergeCell ref="O84:Q84"/>
    <mergeCell ref="R84:T84"/>
    <mergeCell ref="W84:AB84"/>
    <mergeCell ref="AC84:AF84"/>
    <mergeCell ref="AG84:AQ84"/>
    <mergeCell ref="AC85:AF85"/>
    <mergeCell ref="AG85:AQ85"/>
    <mergeCell ref="B84:G84"/>
    <mergeCell ref="B85:G85"/>
    <mergeCell ref="H85:J85"/>
    <mergeCell ref="L85:N85"/>
    <mergeCell ref="O85:Q85"/>
    <mergeCell ref="R85:T85"/>
    <mergeCell ref="W85:AB85"/>
    <mergeCell ref="H86:J86"/>
    <mergeCell ref="L86:N86"/>
    <mergeCell ref="O86:Q86"/>
    <mergeCell ref="R86:T86"/>
    <mergeCell ref="W86:AB86"/>
    <mergeCell ref="AC86:AF86"/>
    <mergeCell ref="AG86:AQ86"/>
    <mergeCell ref="AC89:AF89"/>
    <mergeCell ref="AG89:AQ89"/>
    <mergeCell ref="AC99:AF99"/>
    <mergeCell ref="AG99:AQ99"/>
    <mergeCell ref="H90:J90"/>
    <mergeCell ref="L90:N90"/>
    <mergeCell ref="O90:Q90"/>
    <mergeCell ref="R90:T90"/>
    <mergeCell ref="W90:AB90"/>
    <mergeCell ref="AC90:AF90"/>
    <mergeCell ref="AG90:AQ90"/>
    <mergeCell ref="B90:G90"/>
    <mergeCell ref="B91:G91"/>
    <mergeCell ref="H91:J91"/>
    <mergeCell ref="L91:N91"/>
    <mergeCell ref="O91:Q91"/>
    <mergeCell ref="R91:T91"/>
    <mergeCell ref="W91:AB91"/>
    <mergeCell ref="W92:AB92"/>
    <mergeCell ref="AC92:AF92"/>
    <mergeCell ref="AC91:AF91"/>
    <mergeCell ref="AG91:AQ91"/>
    <mergeCell ref="H92:J92"/>
    <mergeCell ref="L92:N92"/>
    <mergeCell ref="O92:Q92"/>
    <mergeCell ref="R92:T92"/>
    <mergeCell ref="AG92:AQ92"/>
    <mergeCell ref="AC93:AF93"/>
    <mergeCell ref="AG93:AQ93"/>
    <mergeCell ref="B92:G92"/>
    <mergeCell ref="B93:G93"/>
    <mergeCell ref="H93:J93"/>
    <mergeCell ref="L93:N93"/>
    <mergeCell ref="O93:Q93"/>
    <mergeCell ref="R93:T93"/>
    <mergeCell ref="W93:AB93"/>
    <mergeCell ref="H94:J94"/>
    <mergeCell ref="L94:N94"/>
    <mergeCell ref="O94:Q94"/>
    <mergeCell ref="R94:T94"/>
    <mergeCell ref="W94:AB94"/>
    <mergeCell ref="AC94:AF94"/>
    <mergeCell ref="AG94:AQ94"/>
    <mergeCell ref="B94:G94"/>
    <mergeCell ref="B95:G95"/>
    <mergeCell ref="H95:J95"/>
    <mergeCell ref="L95:N95"/>
    <mergeCell ref="O95:Q95"/>
    <mergeCell ref="R95:T95"/>
    <mergeCell ref="W95:AB95"/>
    <mergeCell ref="W96:AB96"/>
    <mergeCell ref="AC96:AF96"/>
    <mergeCell ref="AC95:AF95"/>
    <mergeCell ref="AG95:AQ95"/>
    <mergeCell ref="H96:J96"/>
    <mergeCell ref="L96:N96"/>
    <mergeCell ref="O96:Q96"/>
    <mergeCell ref="R96:T96"/>
    <mergeCell ref="AG96:AQ96"/>
    <mergeCell ref="AC97:AF97"/>
    <mergeCell ref="AG97:AQ97"/>
    <mergeCell ref="B96:G96"/>
    <mergeCell ref="B97:G97"/>
    <mergeCell ref="H97:J97"/>
    <mergeCell ref="L97:N97"/>
    <mergeCell ref="O97:Q97"/>
    <mergeCell ref="R97:T97"/>
    <mergeCell ref="W97:AB97"/>
    <mergeCell ref="H102:J102"/>
    <mergeCell ref="L102:N102"/>
    <mergeCell ref="O102:Q102"/>
    <mergeCell ref="R102:T102"/>
    <mergeCell ref="W102:AB102"/>
    <mergeCell ref="AC102:AF102"/>
    <mergeCell ref="AG102:AQ102"/>
    <mergeCell ref="B102:G102"/>
    <mergeCell ref="B103:G103"/>
    <mergeCell ref="H103:J103"/>
    <mergeCell ref="L103:N103"/>
    <mergeCell ref="O103:Q103"/>
    <mergeCell ref="R103:T103"/>
    <mergeCell ref="W103:AB103"/>
    <mergeCell ref="M16:S16"/>
    <mergeCell ref="M17:Q17"/>
    <mergeCell ref="R17:T17"/>
    <mergeCell ref="U17:V17"/>
    <mergeCell ref="AV17:AX17"/>
    <mergeCell ref="AY17:AZ17"/>
    <mergeCell ref="BA17:BD17"/>
    <mergeCell ref="BF17:BH17"/>
    <mergeCell ref="BI17:BJ17"/>
    <mergeCell ref="AB16:AD16"/>
    <mergeCell ref="AB17:AD17"/>
    <mergeCell ref="AE17:AF17"/>
    <mergeCell ref="AG17:AJ17"/>
    <mergeCell ref="AL17:AN17"/>
    <mergeCell ref="AO17:AP17"/>
    <mergeCell ref="AQ17:AT17"/>
    <mergeCell ref="C16:D16"/>
    <mergeCell ref="E16:G16"/>
    <mergeCell ref="H16:I16"/>
    <mergeCell ref="J16:L16"/>
    <mergeCell ref="W16:Z16"/>
    <mergeCell ref="C17:I17"/>
    <mergeCell ref="W17:Z17"/>
    <mergeCell ref="AY18:AZ18"/>
    <mergeCell ref="BA18:BB18"/>
    <mergeCell ref="BC18:BE18"/>
    <mergeCell ref="BF18:BG18"/>
    <mergeCell ref="BH18:BJ18"/>
    <mergeCell ref="AB18:AD18"/>
    <mergeCell ref="AE18:AF18"/>
    <mergeCell ref="AG18:AJ18"/>
    <mergeCell ref="AL18:AN18"/>
    <mergeCell ref="AO18:AP18"/>
    <mergeCell ref="AQ18:AT18"/>
    <mergeCell ref="AV18:AX18"/>
    <mergeCell ref="H18:J18"/>
    <mergeCell ref="H19:J19"/>
    <mergeCell ref="C20:F20"/>
    <mergeCell ref="H20:J20"/>
    <mergeCell ref="C21:F21"/>
    <mergeCell ref="H21:J21"/>
    <mergeCell ref="C18:G18"/>
    <mergeCell ref="K18:L18"/>
    <mergeCell ref="M18:P18"/>
    <mergeCell ref="R18:T18"/>
    <mergeCell ref="U18:V18"/>
    <mergeCell ref="W18:Z18"/>
    <mergeCell ref="C19:F19"/>
    <mergeCell ref="AQ19:AT19"/>
    <mergeCell ref="AV19:AX19"/>
    <mergeCell ref="AY19:AZ19"/>
    <mergeCell ref="BA19:BB19"/>
    <mergeCell ref="BC19:BE19"/>
    <mergeCell ref="BF19:BG19"/>
    <mergeCell ref="BH19:BJ19"/>
    <mergeCell ref="W19:Z19"/>
    <mergeCell ref="AB19:AD19"/>
    <mergeCell ref="AE19:AF19"/>
    <mergeCell ref="AG19:AH19"/>
    <mergeCell ref="AI19:AK19"/>
    <mergeCell ref="AL19:AM19"/>
    <mergeCell ref="AN19:AP19"/>
    <mergeCell ref="R19:T19"/>
    <mergeCell ref="U19:V19"/>
    <mergeCell ref="R20:T20"/>
    <mergeCell ref="U20:V20"/>
    <mergeCell ref="W20:Z20"/>
    <mergeCell ref="AB20:AD20"/>
    <mergeCell ref="AE20:AF20"/>
    <mergeCell ref="K19:L19"/>
    <mergeCell ref="M19:P19"/>
    <mergeCell ref="K20:L20"/>
    <mergeCell ref="M20:P20"/>
    <mergeCell ref="K21:L21"/>
    <mergeCell ref="M21:P21"/>
    <mergeCell ref="R21:T21"/>
    <mergeCell ref="BA20:BG20"/>
    <mergeCell ref="BF21:BH21"/>
    <mergeCell ref="BI21:BJ21"/>
    <mergeCell ref="AG20:AH20"/>
    <mergeCell ref="AI20:AK20"/>
    <mergeCell ref="AL20:AM20"/>
    <mergeCell ref="AN20:AP20"/>
    <mergeCell ref="AQ20:AT20"/>
    <mergeCell ref="AV20:AX20"/>
    <mergeCell ref="AY20:AZ20"/>
    <mergeCell ref="AV23:AX23"/>
    <mergeCell ref="AY23:AZ23"/>
    <mergeCell ref="R23:T23"/>
    <mergeCell ref="U23:V23"/>
    <mergeCell ref="W23:AC23"/>
    <mergeCell ref="AG23:AJ23"/>
    <mergeCell ref="AL23:AN23"/>
    <mergeCell ref="AO23:AP23"/>
    <mergeCell ref="AQ23:AT23"/>
    <mergeCell ref="AY21:AZ21"/>
    <mergeCell ref="BA21:BE21"/>
    <mergeCell ref="BA23:BD23"/>
    <mergeCell ref="BF23:BH23"/>
    <mergeCell ref="BI23:BJ23"/>
    <mergeCell ref="BA24:BD24"/>
    <mergeCell ref="BF24:BH24"/>
    <mergeCell ref="BI24:BJ24"/>
    <mergeCell ref="U21:V21"/>
    <mergeCell ref="W21:Z21"/>
    <mergeCell ref="AB21:AD21"/>
    <mergeCell ref="AE21:AF21"/>
    <mergeCell ref="AG21:AM21"/>
    <mergeCell ref="AQ21:AT21"/>
    <mergeCell ref="AV21:AX21"/>
    <mergeCell ref="AV22:AX22"/>
    <mergeCell ref="AY22:AZ22"/>
    <mergeCell ref="BA22:BD22"/>
    <mergeCell ref="BF22:BH22"/>
    <mergeCell ref="BI22:BJ22"/>
    <mergeCell ref="Y22:AA22"/>
    <mergeCell ref="AB22:AC22"/>
    <mergeCell ref="AD22:AF22"/>
    <mergeCell ref="AG22:AK22"/>
    <mergeCell ref="AL22:AN22"/>
    <mergeCell ref="AO22:AP22"/>
    <mergeCell ref="AQ22:AT22"/>
    <mergeCell ref="H22:J22"/>
    <mergeCell ref="H23:J23"/>
    <mergeCell ref="C24:F24"/>
    <mergeCell ref="H24:J24"/>
    <mergeCell ref="C22:F22"/>
    <mergeCell ref="K22:L22"/>
    <mergeCell ref="M22:P22"/>
    <mergeCell ref="R22:T22"/>
    <mergeCell ref="U22:V22"/>
    <mergeCell ref="W22:X22"/>
    <mergeCell ref="C23:F23"/>
    <mergeCell ref="K23:L23"/>
    <mergeCell ref="M23:P23"/>
    <mergeCell ref="K24:L24"/>
    <mergeCell ref="M24:N24"/>
    <mergeCell ref="O24:Q24"/>
    <mergeCell ref="R24:S24"/>
    <mergeCell ref="T24:V24"/>
    <mergeCell ref="H4:J4"/>
    <mergeCell ref="K4:L4"/>
    <mergeCell ref="M4:Q4"/>
    <mergeCell ref="R4:T4"/>
    <mergeCell ref="U4:V4"/>
    <mergeCell ref="W4:AA4"/>
    <mergeCell ref="AB4:AD4"/>
    <mergeCell ref="AE4:AF4"/>
    <mergeCell ref="AO4:AP4"/>
    <mergeCell ref="AQ4:AU4"/>
    <mergeCell ref="AV4:AX4"/>
    <mergeCell ref="AY4:AZ4"/>
    <mergeCell ref="BA4:BE4"/>
    <mergeCell ref="BF4:BH4"/>
    <mergeCell ref="BI4:BJ4"/>
    <mergeCell ref="AG4:AK4"/>
    <mergeCell ref="AL4:AN4"/>
    <mergeCell ref="C3:I3"/>
    <mergeCell ref="M3:S3"/>
    <mergeCell ref="W3:AC3"/>
    <mergeCell ref="AG3:AM3"/>
    <mergeCell ref="AQ3:AW3"/>
    <mergeCell ref="BA3:BG3"/>
    <mergeCell ref="C4:G4"/>
    <mergeCell ref="AY5:AZ5"/>
    <mergeCell ref="BA5:BD5"/>
    <mergeCell ref="BF5:BH5"/>
    <mergeCell ref="BI5:BJ5"/>
    <mergeCell ref="AB5:AD5"/>
    <mergeCell ref="AE5:AF5"/>
    <mergeCell ref="AG5:AJ5"/>
    <mergeCell ref="AL5:AN5"/>
    <mergeCell ref="AO5:AP5"/>
    <mergeCell ref="AQ5:AT5"/>
    <mergeCell ref="AV5:AX5"/>
    <mergeCell ref="H5:J5"/>
    <mergeCell ref="H6:J6"/>
    <mergeCell ref="R6:T6"/>
    <mergeCell ref="U6:V6"/>
    <mergeCell ref="AV6:AX6"/>
    <mergeCell ref="AY6:AZ6"/>
    <mergeCell ref="BA6:BD6"/>
    <mergeCell ref="BF6:BH6"/>
    <mergeCell ref="BI6:BJ6"/>
    <mergeCell ref="W6:Z6"/>
    <mergeCell ref="AB6:AD6"/>
    <mergeCell ref="AE6:AF6"/>
    <mergeCell ref="AG6:AJ6"/>
    <mergeCell ref="AL6:AN6"/>
    <mergeCell ref="AO6:AP6"/>
    <mergeCell ref="AQ6:AT6"/>
    <mergeCell ref="C5:F5"/>
    <mergeCell ref="K5:L5"/>
    <mergeCell ref="M5:P5"/>
    <mergeCell ref="R5:T5"/>
    <mergeCell ref="U5:V5"/>
    <mergeCell ref="W5:Z5"/>
    <mergeCell ref="C6:F6"/>
    <mergeCell ref="AN7:AP7"/>
    <mergeCell ref="AQ7:AT7"/>
    <mergeCell ref="AV7:AX7"/>
    <mergeCell ref="AY7:AZ7"/>
    <mergeCell ref="BA7:BD7"/>
    <mergeCell ref="BF7:BH7"/>
    <mergeCell ref="BI7:BJ7"/>
    <mergeCell ref="U7:V7"/>
    <mergeCell ref="W7:Z7"/>
    <mergeCell ref="AB7:AD7"/>
    <mergeCell ref="AE7:AF7"/>
    <mergeCell ref="AG7:AH7"/>
    <mergeCell ref="AI7:AK7"/>
    <mergeCell ref="AL7:AM7"/>
    <mergeCell ref="K6:L6"/>
    <mergeCell ref="M6:P6"/>
    <mergeCell ref="C7:F7"/>
    <mergeCell ref="H7:J7"/>
    <mergeCell ref="K7:L7"/>
    <mergeCell ref="M7:P7"/>
    <mergeCell ref="R7:T7"/>
    <mergeCell ref="BA8:BD8"/>
    <mergeCell ref="BF8:BH8"/>
    <mergeCell ref="BI8:BJ8"/>
    <mergeCell ref="W8:Z8"/>
    <mergeCell ref="AB8:AD8"/>
    <mergeCell ref="AE8:AF8"/>
    <mergeCell ref="AG8:AM8"/>
    <mergeCell ref="AQ8:AT8"/>
    <mergeCell ref="AV8:AX8"/>
    <mergeCell ref="AY8:AZ8"/>
    <mergeCell ref="AO9:AP9"/>
    <mergeCell ref="AQ9:AT9"/>
    <mergeCell ref="AV9:AX9"/>
    <mergeCell ref="AY9:AZ9"/>
    <mergeCell ref="BA9:BD9"/>
    <mergeCell ref="BF9:BH9"/>
    <mergeCell ref="BI9:BJ9"/>
    <mergeCell ref="O9:Q9"/>
    <mergeCell ref="R9:S9"/>
    <mergeCell ref="W9:Z9"/>
    <mergeCell ref="AB9:AD9"/>
    <mergeCell ref="AE9:AF9"/>
    <mergeCell ref="AG9:AK9"/>
    <mergeCell ref="AL9:AN9"/>
    <mergeCell ref="C8:D8"/>
    <mergeCell ref="E8:G8"/>
    <mergeCell ref="H8:I8"/>
    <mergeCell ref="J8:L8"/>
    <mergeCell ref="R8:T8"/>
    <mergeCell ref="U8:V8"/>
    <mergeCell ref="T9:V9"/>
    <mergeCell ref="AL10:AN10"/>
    <mergeCell ref="AO10:AP10"/>
    <mergeCell ref="AQ10:AT10"/>
    <mergeCell ref="AV10:AX10"/>
    <mergeCell ref="AY10:AZ10"/>
    <mergeCell ref="BA10:BD10"/>
    <mergeCell ref="BF10:BH10"/>
    <mergeCell ref="BI10:BJ10"/>
    <mergeCell ref="M8:P8"/>
    <mergeCell ref="M9:N9"/>
    <mergeCell ref="M10:S10"/>
    <mergeCell ref="W10:Z10"/>
    <mergeCell ref="AB10:AD10"/>
    <mergeCell ref="AE10:AF10"/>
    <mergeCell ref="AG10:AJ10"/>
    <mergeCell ref="BF11:BH11"/>
    <mergeCell ref="BI11:BJ11"/>
    <mergeCell ref="AL11:AN11"/>
    <mergeCell ref="AO11:AP11"/>
    <mergeCell ref="AQ11:AR11"/>
    <mergeCell ref="AS11:AU11"/>
    <mergeCell ref="AV11:AW11"/>
    <mergeCell ref="AX11:AZ11"/>
    <mergeCell ref="BA11:BD11"/>
    <mergeCell ref="C9:I9"/>
    <mergeCell ref="C10:G10"/>
    <mergeCell ref="H10:J10"/>
    <mergeCell ref="K10:L10"/>
    <mergeCell ref="C11:F11"/>
    <mergeCell ref="K11:L11"/>
    <mergeCell ref="C12:F12"/>
    <mergeCell ref="K12:L12"/>
    <mergeCell ref="AB12:AC12"/>
    <mergeCell ref="AD12:AF12"/>
    <mergeCell ref="AL12:AN12"/>
    <mergeCell ref="AO12:AP12"/>
    <mergeCell ref="AQ12:AW12"/>
    <mergeCell ref="BA12:BD12"/>
    <mergeCell ref="BF12:BH12"/>
    <mergeCell ref="BI12:BJ12"/>
    <mergeCell ref="M11:Q11"/>
    <mergeCell ref="R11:T11"/>
    <mergeCell ref="U11:V11"/>
    <mergeCell ref="W11:Z11"/>
    <mergeCell ref="AB11:AD11"/>
    <mergeCell ref="AE11:AF11"/>
    <mergeCell ref="AG11:AJ11"/>
    <mergeCell ref="H11:J11"/>
    <mergeCell ref="M12:P12"/>
    <mergeCell ref="R12:T12"/>
    <mergeCell ref="U12:V12"/>
    <mergeCell ref="W12:X12"/>
    <mergeCell ref="Y12:AA12"/>
    <mergeCell ref="AG12:AJ12"/>
    <mergeCell ref="BA13:BD13"/>
    <mergeCell ref="BF13:BH13"/>
    <mergeCell ref="BI13:BJ13"/>
    <mergeCell ref="AV14:AX14"/>
    <mergeCell ref="AY14:AZ14"/>
    <mergeCell ref="BA14:BD14"/>
    <mergeCell ref="BF14:BH14"/>
    <mergeCell ref="BI14:BJ14"/>
    <mergeCell ref="W13:AC13"/>
    <mergeCell ref="AG13:AJ13"/>
    <mergeCell ref="AL13:AN13"/>
    <mergeCell ref="AO13:AP13"/>
    <mergeCell ref="AQ13:AU13"/>
    <mergeCell ref="AV13:AX13"/>
    <mergeCell ref="AY13:AZ13"/>
    <mergeCell ref="H13:J13"/>
    <mergeCell ref="H14:J14"/>
    <mergeCell ref="K14:L14"/>
    <mergeCell ref="M14:P14"/>
    <mergeCell ref="H12:J12"/>
    <mergeCell ref="C13:F13"/>
    <mergeCell ref="K13:L13"/>
    <mergeCell ref="M13:P13"/>
    <mergeCell ref="R13:T13"/>
    <mergeCell ref="U13:V13"/>
    <mergeCell ref="C14:F14"/>
    <mergeCell ref="AO14:AP14"/>
    <mergeCell ref="AQ14:AT14"/>
    <mergeCell ref="R14:T14"/>
    <mergeCell ref="U14:V14"/>
    <mergeCell ref="W14:AA14"/>
    <mergeCell ref="AB14:AD14"/>
    <mergeCell ref="AE14:AF14"/>
    <mergeCell ref="AG14:AJ14"/>
    <mergeCell ref="AL14:AN14"/>
    <mergeCell ref="AV15:AX15"/>
    <mergeCell ref="AY15:AZ15"/>
    <mergeCell ref="BA15:BD15"/>
    <mergeCell ref="BF15:BH15"/>
    <mergeCell ref="BI15:BJ15"/>
    <mergeCell ref="W15:Z15"/>
    <mergeCell ref="AB15:AD15"/>
    <mergeCell ref="AE15:AF15"/>
    <mergeCell ref="AG15:AJ15"/>
    <mergeCell ref="AL15:AN15"/>
    <mergeCell ref="AO15:AP15"/>
    <mergeCell ref="AQ15:AT15"/>
    <mergeCell ref="C15:F15"/>
    <mergeCell ref="H15:J15"/>
    <mergeCell ref="K15:L15"/>
    <mergeCell ref="M15:N15"/>
    <mergeCell ref="O15:Q15"/>
    <mergeCell ref="R15:S15"/>
    <mergeCell ref="T15:V15"/>
    <mergeCell ref="BA16:BD16"/>
    <mergeCell ref="BF16:BH16"/>
    <mergeCell ref="BI16:BJ16"/>
    <mergeCell ref="AE16:AF16"/>
    <mergeCell ref="AG16:AJ16"/>
    <mergeCell ref="AL16:AN16"/>
    <mergeCell ref="AO16:AP16"/>
    <mergeCell ref="AQ16:AT16"/>
    <mergeCell ref="AV16:AX16"/>
    <mergeCell ref="AY16:AZ16"/>
    <mergeCell ref="K28:L28"/>
    <mergeCell ref="M28:P28"/>
    <mergeCell ref="K26:L26"/>
    <mergeCell ref="M26:Q26"/>
    <mergeCell ref="C27:F27"/>
    <mergeCell ref="K27:L27"/>
    <mergeCell ref="M27:P27"/>
    <mergeCell ref="R27:T27"/>
    <mergeCell ref="C28:F28"/>
    <mergeCell ref="M36:P36"/>
    <mergeCell ref="M37:P37"/>
    <mergeCell ref="C36:D36"/>
    <mergeCell ref="E36:G36"/>
    <mergeCell ref="H36:I36"/>
    <mergeCell ref="J36:L36"/>
    <mergeCell ref="R36:T36"/>
    <mergeCell ref="U36:V36"/>
    <mergeCell ref="C37:I37"/>
    <mergeCell ref="BF38:BH38"/>
    <mergeCell ref="BI38:BJ38"/>
    <mergeCell ref="AB38:AD38"/>
    <mergeCell ref="AE38:AF38"/>
    <mergeCell ref="AG38:AJ38"/>
    <mergeCell ref="AL38:AN38"/>
    <mergeCell ref="AO38:AP38"/>
    <mergeCell ref="AQ38:AZ38"/>
    <mergeCell ref="BA38:BE38"/>
    <mergeCell ref="H38:J38"/>
    <mergeCell ref="H39:J39"/>
    <mergeCell ref="K39:L39"/>
    <mergeCell ref="M39:N39"/>
    <mergeCell ref="AQ39:AW39"/>
    <mergeCell ref="BA39:BD39"/>
    <mergeCell ref="BF39:BH39"/>
    <mergeCell ref="BI39:BJ39"/>
    <mergeCell ref="O39:Q39"/>
    <mergeCell ref="R39:S39"/>
    <mergeCell ref="AB39:AD39"/>
    <mergeCell ref="AE39:AF39"/>
    <mergeCell ref="AG39:AJ39"/>
    <mergeCell ref="AL39:AN39"/>
    <mergeCell ref="AO39:AP39"/>
    <mergeCell ref="T39:V39"/>
    <mergeCell ref="W39:Z39"/>
    <mergeCell ref="C38:G38"/>
    <mergeCell ref="K38:L38"/>
    <mergeCell ref="M38:P38"/>
    <mergeCell ref="R38:T38"/>
    <mergeCell ref="U38:V38"/>
    <mergeCell ref="W38:Z38"/>
    <mergeCell ref="C39:F39"/>
    <mergeCell ref="BC40:BE40"/>
    <mergeCell ref="BF40:BG40"/>
    <mergeCell ref="BH40:BJ40"/>
    <mergeCell ref="AG40:AJ40"/>
    <mergeCell ref="AL40:AN40"/>
    <mergeCell ref="AO40:AP40"/>
    <mergeCell ref="AQ40:AU40"/>
    <mergeCell ref="AV40:AX40"/>
    <mergeCell ref="AY40:AZ40"/>
    <mergeCell ref="BA40:BB40"/>
    <mergeCell ref="H40:J40"/>
    <mergeCell ref="H41:J41"/>
    <mergeCell ref="R41:T41"/>
    <mergeCell ref="U41:V41"/>
    <mergeCell ref="AN41:AP41"/>
    <mergeCell ref="AQ41:AT41"/>
    <mergeCell ref="AV41:AX41"/>
    <mergeCell ref="AY41:AZ41"/>
    <mergeCell ref="BA41:BG41"/>
    <mergeCell ref="W41:X41"/>
    <mergeCell ref="Y41:AA41"/>
    <mergeCell ref="AB41:AC41"/>
    <mergeCell ref="AD41:AF41"/>
    <mergeCell ref="AG41:AH41"/>
    <mergeCell ref="AI41:AK41"/>
    <mergeCell ref="AL41:AM41"/>
    <mergeCell ref="AV24:AX24"/>
    <mergeCell ref="AY24:AZ24"/>
    <mergeCell ref="W24:AA24"/>
    <mergeCell ref="AB24:AD24"/>
    <mergeCell ref="AE24:AF24"/>
    <mergeCell ref="AG24:AJ24"/>
    <mergeCell ref="AL24:AN24"/>
    <mergeCell ref="AO24:AP24"/>
    <mergeCell ref="AQ24:AT24"/>
    <mergeCell ref="BF25:BH25"/>
    <mergeCell ref="BI25:BJ25"/>
    <mergeCell ref="AG25:AJ25"/>
    <mergeCell ref="AL25:AN25"/>
    <mergeCell ref="AO25:AP25"/>
    <mergeCell ref="AQ25:AT25"/>
    <mergeCell ref="AV25:AX25"/>
    <mergeCell ref="AY25:AZ25"/>
    <mergeCell ref="BA25:BD25"/>
    <mergeCell ref="H25:J25"/>
    <mergeCell ref="H26:J26"/>
    <mergeCell ref="R26:T26"/>
    <mergeCell ref="U26:V26"/>
    <mergeCell ref="AY26:AZ26"/>
    <mergeCell ref="BA26:BD26"/>
    <mergeCell ref="BF26:BH26"/>
    <mergeCell ref="BI26:BJ26"/>
    <mergeCell ref="AB25:AD25"/>
    <mergeCell ref="AB26:AD26"/>
    <mergeCell ref="AG26:AJ26"/>
    <mergeCell ref="AL26:AN26"/>
    <mergeCell ref="AO26:AP26"/>
    <mergeCell ref="AQ26:AT26"/>
    <mergeCell ref="AV26:AX26"/>
    <mergeCell ref="AV29:AX29"/>
    <mergeCell ref="AY29:AZ29"/>
    <mergeCell ref="AB29:AD29"/>
    <mergeCell ref="AE29:AF29"/>
    <mergeCell ref="AG29:AH29"/>
    <mergeCell ref="AI29:AK29"/>
    <mergeCell ref="AL29:AM29"/>
    <mergeCell ref="AN29:AP29"/>
    <mergeCell ref="AQ29:AT29"/>
    <mergeCell ref="C25:F25"/>
    <mergeCell ref="K25:L25"/>
    <mergeCell ref="M25:S25"/>
    <mergeCell ref="W25:Z25"/>
    <mergeCell ref="AE25:AF25"/>
    <mergeCell ref="C26:F26"/>
    <mergeCell ref="W26:Z26"/>
    <mergeCell ref="AE26:AF26"/>
    <mergeCell ref="AQ27:AT27"/>
    <mergeCell ref="AV27:AX27"/>
    <mergeCell ref="AY27:AZ27"/>
    <mergeCell ref="BA27:BD27"/>
    <mergeCell ref="BF27:BH27"/>
    <mergeCell ref="BI27:BJ27"/>
    <mergeCell ref="U27:V27"/>
    <mergeCell ref="W27:Z27"/>
    <mergeCell ref="AB27:AD27"/>
    <mergeCell ref="AE27:AF27"/>
    <mergeCell ref="AG27:AJ27"/>
    <mergeCell ref="AL27:AN27"/>
    <mergeCell ref="AO27:AP27"/>
    <mergeCell ref="H27:J27"/>
    <mergeCell ref="H28:J28"/>
    <mergeCell ref="R28:T28"/>
    <mergeCell ref="U28:V28"/>
    <mergeCell ref="W28:Z28"/>
    <mergeCell ref="AB28:AD28"/>
    <mergeCell ref="AE28:AF28"/>
    <mergeCell ref="AG28:AJ28"/>
    <mergeCell ref="AL28:AN28"/>
    <mergeCell ref="BC28:BE28"/>
    <mergeCell ref="BA29:BG29"/>
    <mergeCell ref="AO28:AP28"/>
    <mergeCell ref="AQ28:AT28"/>
    <mergeCell ref="AV28:AX28"/>
    <mergeCell ref="AY28:AZ28"/>
    <mergeCell ref="BA28:BB28"/>
    <mergeCell ref="BF28:BG28"/>
    <mergeCell ref="BH28:BJ28"/>
    <mergeCell ref="C29:F29"/>
    <mergeCell ref="K29:L29"/>
    <mergeCell ref="M29:P29"/>
    <mergeCell ref="R29:T29"/>
    <mergeCell ref="U29:V29"/>
    <mergeCell ref="W29:Z29"/>
    <mergeCell ref="C30:F30"/>
    <mergeCell ref="BA30:BE30"/>
    <mergeCell ref="BF30:BH30"/>
    <mergeCell ref="BI30:BJ30"/>
    <mergeCell ref="W30:Z30"/>
    <mergeCell ref="AB30:AD30"/>
    <mergeCell ref="AE30:AF30"/>
    <mergeCell ref="AG30:AM30"/>
    <mergeCell ref="AQ30:AT30"/>
    <mergeCell ref="AV30:AX30"/>
    <mergeCell ref="AY30:AZ30"/>
    <mergeCell ref="R30:T30"/>
    <mergeCell ref="U30:V30"/>
    <mergeCell ref="R31:T31"/>
    <mergeCell ref="U31:V31"/>
    <mergeCell ref="W31:X31"/>
    <mergeCell ref="Y31:AA31"/>
    <mergeCell ref="AB31:AC31"/>
    <mergeCell ref="BA31:BD31"/>
    <mergeCell ref="BF31:BH31"/>
    <mergeCell ref="BI31:BJ31"/>
    <mergeCell ref="AD31:AF31"/>
    <mergeCell ref="AG31:AK31"/>
    <mergeCell ref="AL31:AN31"/>
    <mergeCell ref="AO31:AP31"/>
    <mergeCell ref="AQ31:AT31"/>
    <mergeCell ref="AV31:AX31"/>
    <mergeCell ref="AY31:AZ31"/>
    <mergeCell ref="AV32:AX32"/>
    <mergeCell ref="AY32:AZ32"/>
    <mergeCell ref="BA32:BD32"/>
    <mergeCell ref="BF32:BH32"/>
    <mergeCell ref="BI32:BJ32"/>
    <mergeCell ref="R32:S32"/>
    <mergeCell ref="T32:V32"/>
    <mergeCell ref="W32:AC32"/>
    <mergeCell ref="AG32:AJ32"/>
    <mergeCell ref="AL32:AN32"/>
    <mergeCell ref="AO32:AP32"/>
    <mergeCell ref="AQ32:AT32"/>
    <mergeCell ref="K30:L30"/>
    <mergeCell ref="M30:P30"/>
    <mergeCell ref="K31:L31"/>
    <mergeCell ref="M31:P31"/>
    <mergeCell ref="K32:L32"/>
    <mergeCell ref="M32:N32"/>
    <mergeCell ref="O32:Q32"/>
    <mergeCell ref="E33:G33"/>
    <mergeCell ref="H33:I33"/>
    <mergeCell ref="J33:L33"/>
    <mergeCell ref="M33:S33"/>
    <mergeCell ref="W33:AA33"/>
    <mergeCell ref="AB33:AD33"/>
    <mergeCell ref="AE33:AF33"/>
    <mergeCell ref="BF33:BH33"/>
    <mergeCell ref="BI33:BJ33"/>
    <mergeCell ref="AG33:AJ33"/>
    <mergeCell ref="AL33:AN33"/>
    <mergeCell ref="AO33:AP33"/>
    <mergeCell ref="AQ33:AT33"/>
    <mergeCell ref="AV33:AX33"/>
    <mergeCell ref="AY33:AZ33"/>
    <mergeCell ref="BA33:BD33"/>
    <mergeCell ref="C34:D34"/>
    <mergeCell ref="E34:G34"/>
    <mergeCell ref="H34:I34"/>
    <mergeCell ref="J34:L34"/>
    <mergeCell ref="M34:Q34"/>
    <mergeCell ref="R34:T34"/>
    <mergeCell ref="U34:V34"/>
    <mergeCell ref="AQ34:AT34"/>
    <mergeCell ref="AV34:AX34"/>
    <mergeCell ref="AY34:AZ34"/>
    <mergeCell ref="BA34:BD34"/>
    <mergeCell ref="BF34:BH34"/>
    <mergeCell ref="BI34:BJ34"/>
    <mergeCell ref="W34:Z34"/>
    <mergeCell ref="AB34:AD34"/>
    <mergeCell ref="AE34:AF34"/>
    <mergeCell ref="AG34:AH34"/>
    <mergeCell ref="AI34:AK34"/>
    <mergeCell ref="AL34:AM34"/>
    <mergeCell ref="AN34:AP34"/>
    <mergeCell ref="H29:J29"/>
    <mergeCell ref="H30:J30"/>
    <mergeCell ref="C31:F31"/>
    <mergeCell ref="H31:J31"/>
    <mergeCell ref="C32:F32"/>
    <mergeCell ref="H32:J32"/>
    <mergeCell ref="C33:D33"/>
    <mergeCell ref="BA35:BD35"/>
    <mergeCell ref="BF35:BH35"/>
    <mergeCell ref="BI35:BJ35"/>
    <mergeCell ref="W35:Z35"/>
    <mergeCell ref="AB35:AD35"/>
    <mergeCell ref="AE35:AF35"/>
    <mergeCell ref="AG35:AM35"/>
    <mergeCell ref="AQ35:AT35"/>
    <mergeCell ref="AV35:AX35"/>
    <mergeCell ref="AY35:AZ35"/>
    <mergeCell ref="C35:D35"/>
    <mergeCell ref="E35:G35"/>
    <mergeCell ref="H35:I35"/>
    <mergeCell ref="J35:L35"/>
    <mergeCell ref="M35:P35"/>
    <mergeCell ref="R35:T35"/>
    <mergeCell ref="U35:V35"/>
    <mergeCell ref="AV36:AX36"/>
    <mergeCell ref="AY36:AZ36"/>
    <mergeCell ref="BA36:BB36"/>
    <mergeCell ref="BC36:BE36"/>
    <mergeCell ref="BF36:BG36"/>
    <mergeCell ref="BH36:BJ36"/>
    <mergeCell ref="W36:Z36"/>
    <mergeCell ref="AB36:AD36"/>
    <mergeCell ref="AE36:AF36"/>
    <mergeCell ref="AG36:AK36"/>
    <mergeCell ref="AL36:AN36"/>
    <mergeCell ref="AO36:AP36"/>
    <mergeCell ref="AQ36:AT36"/>
    <mergeCell ref="AO37:AP37"/>
    <mergeCell ref="AQ37:AT37"/>
    <mergeCell ref="AV37:AX37"/>
    <mergeCell ref="AY37:AZ37"/>
    <mergeCell ref="BA37:BG37"/>
    <mergeCell ref="R37:T37"/>
    <mergeCell ref="U37:V37"/>
    <mergeCell ref="W37:Z37"/>
    <mergeCell ref="AB37:AD37"/>
    <mergeCell ref="AE37:AF37"/>
    <mergeCell ref="AG37:AJ37"/>
    <mergeCell ref="AL37:AN37"/>
    <mergeCell ref="C40:F40"/>
    <mergeCell ref="K40:L40"/>
    <mergeCell ref="M40:S40"/>
    <mergeCell ref="W40:Z40"/>
    <mergeCell ref="AB40:AD40"/>
    <mergeCell ref="AE40:AF40"/>
    <mergeCell ref="C41:F41"/>
    <mergeCell ref="BA42:BE42"/>
    <mergeCell ref="BF42:BH42"/>
    <mergeCell ref="BI42:BJ42"/>
    <mergeCell ref="R42:T42"/>
    <mergeCell ref="U42:V42"/>
    <mergeCell ref="W42:AC42"/>
    <mergeCell ref="AG42:AM42"/>
    <mergeCell ref="AQ42:AT42"/>
    <mergeCell ref="AV42:AX42"/>
    <mergeCell ref="AY42:AZ42"/>
    <mergeCell ref="M42:P42"/>
    <mergeCell ref="M43:P43"/>
    <mergeCell ref="R43:T43"/>
    <mergeCell ref="U43:V43"/>
    <mergeCell ref="W43:AA43"/>
    <mergeCell ref="AB43:AD43"/>
    <mergeCell ref="AE43:AF43"/>
    <mergeCell ref="BA43:BD43"/>
    <mergeCell ref="BF43:BH43"/>
    <mergeCell ref="BI43:BJ43"/>
    <mergeCell ref="AG43:AK43"/>
    <mergeCell ref="AL43:AN43"/>
    <mergeCell ref="AO43:AP43"/>
    <mergeCell ref="AQ43:AR43"/>
    <mergeCell ref="AS43:AU43"/>
    <mergeCell ref="AV43:AW43"/>
    <mergeCell ref="AX43:AZ43"/>
    <mergeCell ref="K41:L41"/>
    <mergeCell ref="M41:Q41"/>
    <mergeCell ref="C42:D42"/>
    <mergeCell ref="E42:G42"/>
    <mergeCell ref="H42:I42"/>
    <mergeCell ref="J42:L42"/>
    <mergeCell ref="C43:I43"/>
    <mergeCell ref="AB73:AD73"/>
    <mergeCell ref="AE73:AF73"/>
    <mergeCell ref="W71:Z71"/>
    <mergeCell ref="AB71:AD71"/>
    <mergeCell ref="AE71:AF71"/>
    <mergeCell ref="W72:Z72"/>
    <mergeCell ref="AB72:AD72"/>
    <mergeCell ref="AE72:AF72"/>
    <mergeCell ref="W73:Z73"/>
    <mergeCell ref="AB79:AD79"/>
    <mergeCell ref="AE79:AF79"/>
    <mergeCell ref="W80:AA80"/>
    <mergeCell ref="AB80:AF80"/>
    <mergeCell ref="W77:Z77"/>
    <mergeCell ref="AB77:AD77"/>
    <mergeCell ref="AE77:AF77"/>
    <mergeCell ref="W78:Z78"/>
    <mergeCell ref="AB78:AD78"/>
    <mergeCell ref="AE78:AF78"/>
    <mergeCell ref="W79:Z79"/>
    <mergeCell ref="W53:Z53"/>
    <mergeCell ref="W54:Z54"/>
    <mergeCell ref="W55:Z55"/>
    <mergeCell ref="AB55:AD55"/>
    <mergeCell ref="AE55:AF55"/>
    <mergeCell ref="AB56:AD56"/>
    <mergeCell ref="AE56:AF56"/>
    <mergeCell ref="W56:Z56"/>
    <mergeCell ref="W57:Z57"/>
    <mergeCell ref="AB57:AD57"/>
    <mergeCell ref="AE57:AF57"/>
    <mergeCell ref="W58:Z58"/>
    <mergeCell ref="AE58:AF58"/>
    <mergeCell ref="AE59:AF59"/>
    <mergeCell ref="AB63:AD63"/>
    <mergeCell ref="AE63:AF63"/>
    <mergeCell ref="W61:Z61"/>
    <mergeCell ref="AB61:AD61"/>
    <mergeCell ref="AE61:AF61"/>
    <mergeCell ref="W62:Z62"/>
    <mergeCell ref="AB62:AD62"/>
    <mergeCell ref="AE62:AF62"/>
    <mergeCell ref="W63:Z63"/>
    <mergeCell ref="W64:X64"/>
    <mergeCell ref="Y64:AA64"/>
    <mergeCell ref="AB64:AC64"/>
    <mergeCell ref="AD64:AF64"/>
    <mergeCell ref="Y65:AA65"/>
    <mergeCell ref="AB65:AC65"/>
    <mergeCell ref="AD65:AF65"/>
    <mergeCell ref="AB67:AC67"/>
    <mergeCell ref="AD67:AF67"/>
    <mergeCell ref="W65:X65"/>
    <mergeCell ref="W66:X66"/>
    <mergeCell ref="Y66:AA66"/>
    <mergeCell ref="AB66:AC66"/>
    <mergeCell ref="AD66:AF66"/>
    <mergeCell ref="W67:X67"/>
    <mergeCell ref="Y67:AA67"/>
    <mergeCell ref="H104:J104"/>
    <mergeCell ref="L104:N104"/>
    <mergeCell ref="O104:Q104"/>
    <mergeCell ref="R104:T104"/>
    <mergeCell ref="W104:AB104"/>
    <mergeCell ref="AC104:AF104"/>
    <mergeCell ref="AG104:AQ104"/>
    <mergeCell ref="B104:G104"/>
    <mergeCell ref="B105:G105"/>
    <mergeCell ref="H105:J105"/>
    <mergeCell ref="L105:N105"/>
    <mergeCell ref="O105:Q105"/>
    <mergeCell ref="R105:T105"/>
    <mergeCell ref="W105:AB105"/>
    <mergeCell ref="W106:AB106"/>
    <mergeCell ref="AC106:AF106"/>
    <mergeCell ref="AC105:AF105"/>
    <mergeCell ref="AG105:AQ105"/>
    <mergeCell ref="H106:J106"/>
    <mergeCell ref="L106:N106"/>
    <mergeCell ref="O106:Q106"/>
    <mergeCell ref="R106:T106"/>
    <mergeCell ref="AG106:AQ106"/>
    <mergeCell ref="AC107:AF107"/>
    <mergeCell ref="AG107:AQ107"/>
    <mergeCell ref="B106:G106"/>
    <mergeCell ref="B107:G107"/>
    <mergeCell ref="H107:J107"/>
    <mergeCell ref="L107:N107"/>
    <mergeCell ref="O107:Q107"/>
    <mergeCell ref="R107:T107"/>
    <mergeCell ref="W107:AB107"/>
    <mergeCell ref="H108:J108"/>
    <mergeCell ref="L108:N108"/>
    <mergeCell ref="O108:Q108"/>
    <mergeCell ref="R108:T108"/>
    <mergeCell ref="W108:AB108"/>
    <mergeCell ref="AC108:AF108"/>
    <mergeCell ref="AG108:AQ108"/>
    <mergeCell ref="B108:G108"/>
    <mergeCell ref="B109:G109"/>
    <mergeCell ref="H109:J109"/>
    <mergeCell ref="L109:N109"/>
    <mergeCell ref="O109:Q109"/>
    <mergeCell ref="R109:T109"/>
    <mergeCell ref="W109:AB109"/>
    <mergeCell ref="W110:AB110"/>
    <mergeCell ref="AC110:AF110"/>
    <mergeCell ref="AC109:AF109"/>
    <mergeCell ref="AG109:AQ109"/>
    <mergeCell ref="H110:J110"/>
    <mergeCell ref="L110:N110"/>
    <mergeCell ref="O110:Q110"/>
    <mergeCell ref="R110:T110"/>
    <mergeCell ref="AG110:AQ110"/>
    <mergeCell ref="AC111:AF111"/>
    <mergeCell ref="AG111:AQ111"/>
    <mergeCell ref="B110:G110"/>
    <mergeCell ref="B111:G111"/>
    <mergeCell ref="H111:J111"/>
    <mergeCell ref="L111:N111"/>
    <mergeCell ref="O111:Q111"/>
    <mergeCell ref="R111:T111"/>
    <mergeCell ref="W111:AB111"/>
    <mergeCell ref="W114:AB114"/>
    <mergeCell ref="AC114:AF114"/>
    <mergeCell ref="AC113:AF113"/>
    <mergeCell ref="AG113:AQ113"/>
    <mergeCell ref="H114:J114"/>
    <mergeCell ref="L114:N114"/>
    <mergeCell ref="O114:Q114"/>
    <mergeCell ref="R114:T114"/>
    <mergeCell ref="AG114:AQ114"/>
    <mergeCell ref="H112:J112"/>
    <mergeCell ref="L112:N112"/>
    <mergeCell ref="O112:Q112"/>
    <mergeCell ref="R112:T112"/>
    <mergeCell ref="W112:AB112"/>
    <mergeCell ref="AC112:AF112"/>
    <mergeCell ref="AG112:AQ112"/>
    <mergeCell ref="B112:G112"/>
    <mergeCell ref="B113:G113"/>
    <mergeCell ref="H113:J113"/>
    <mergeCell ref="L113:N113"/>
    <mergeCell ref="O113:Q113"/>
    <mergeCell ref="R113:T113"/>
    <mergeCell ref="W113:AB113"/>
    <mergeCell ref="AC115:AF115"/>
    <mergeCell ref="AG115:AQ115"/>
    <mergeCell ref="B114:G114"/>
    <mergeCell ref="B115:G115"/>
    <mergeCell ref="H115:J115"/>
    <mergeCell ref="L115:N115"/>
    <mergeCell ref="O115:Q115"/>
    <mergeCell ref="R115:T115"/>
    <mergeCell ref="W115:AB115"/>
    <mergeCell ref="H116:J116"/>
    <mergeCell ref="L116:N116"/>
    <mergeCell ref="O116:Q116"/>
    <mergeCell ref="R116:T116"/>
    <mergeCell ref="W116:AB116"/>
    <mergeCell ref="AC116:AF116"/>
    <mergeCell ref="AG116:AQ116"/>
    <mergeCell ref="B116:G116"/>
    <mergeCell ref="B117:G117"/>
    <mergeCell ref="H117:J117"/>
    <mergeCell ref="L117:N117"/>
    <mergeCell ref="O117:Q117"/>
    <mergeCell ref="R117:T117"/>
    <mergeCell ref="W117:AB117"/>
    <mergeCell ref="W118:AB118"/>
    <mergeCell ref="AC118:AF118"/>
    <mergeCell ref="AC117:AF117"/>
    <mergeCell ref="AG117:AQ117"/>
    <mergeCell ref="H118:J118"/>
    <mergeCell ref="L118:N118"/>
    <mergeCell ref="O118:Q118"/>
    <mergeCell ref="R118:T118"/>
    <mergeCell ref="AG118:AQ118"/>
    <mergeCell ref="AC119:AF119"/>
    <mergeCell ref="AG119:AQ119"/>
    <mergeCell ref="B118:G118"/>
    <mergeCell ref="B119:G119"/>
    <mergeCell ref="H119:J119"/>
    <mergeCell ref="L119:N119"/>
    <mergeCell ref="O119:Q119"/>
    <mergeCell ref="R119:T119"/>
    <mergeCell ref="W119:AB119"/>
    <mergeCell ref="H120:J120"/>
    <mergeCell ref="L120:N120"/>
    <mergeCell ref="O120:Q120"/>
    <mergeCell ref="R120:T120"/>
    <mergeCell ref="W120:AB120"/>
    <mergeCell ref="AC120:AF120"/>
    <mergeCell ref="AG120:AQ120"/>
    <mergeCell ref="B120:G120"/>
    <mergeCell ref="B121:G121"/>
    <mergeCell ref="H121:J121"/>
    <mergeCell ref="L121:N121"/>
    <mergeCell ref="O121:Q121"/>
    <mergeCell ref="R121:T121"/>
    <mergeCell ref="W121:AB121"/>
    <mergeCell ref="W122:AB122"/>
    <mergeCell ref="AC122:AF122"/>
    <mergeCell ref="AC121:AF121"/>
    <mergeCell ref="AG121:AQ121"/>
    <mergeCell ref="H122:J122"/>
    <mergeCell ref="L122:N122"/>
    <mergeCell ref="O122:Q122"/>
    <mergeCell ref="R122:T122"/>
    <mergeCell ref="AG122:AQ122"/>
    <mergeCell ref="AC123:AF123"/>
    <mergeCell ref="AG123:AQ123"/>
    <mergeCell ref="B122:G122"/>
    <mergeCell ref="B123:G123"/>
    <mergeCell ref="H123:J123"/>
    <mergeCell ref="L123:N123"/>
    <mergeCell ref="O123:Q123"/>
    <mergeCell ref="R123:T123"/>
    <mergeCell ref="W123:AB123"/>
    <mergeCell ref="H124:J124"/>
    <mergeCell ref="L124:N124"/>
    <mergeCell ref="O124:Q124"/>
    <mergeCell ref="R124:T124"/>
    <mergeCell ref="W124:AB124"/>
    <mergeCell ref="AC124:AF124"/>
    <mergeCell ref="AG124:AQ124"/>
    <mergeCell ref="B124:G124"/>
    <mergeCell ref="B125:G125"/>
    <mergeCell ref="H125:J125"/>
    <mergeCell ref="L125:N125"/>
    <mergeCell ref="O125:Q125"/>
    <mergeCell ref="R125:T125"/>
    <mergeCell ref="W125:AB125"/>
    <mergeCell ref="W126:AB126"/>
    <mergeCell ref="AC126:AF126"/>
    <mergeCell ref="AC125:AF125"/>
    <mergeCell ref="AG125:AQ125"/>
    <mergeCell ref="H126:J126"/>
    <mergeCell ref="L126:N126"/>
    <mergeCell ref="O126:Q126"/>
    <mergeCell ref="R126:T126"/>
    <mergeCell ref="AG126:AQ126"/>
    <mergeCell ref="AC127:AF127"/>
    <mergeCell ref="AG127:AQ127"/>
    <mergeCell ref="B126:G126"/>
    <mergeCell ref="B127:G127"/>
    <mergeCell ref="H127:J127"/>
    <mergeCell ref="L127:N127"/>
    <mergeCell ref="O127:Q127"/>
    <mergeCell ref="R127:T127"/>
    <mergeCell ref="W127:AB127"/>
    <mergeCell ref="H128:J128"/>
    <mergeCell ref="L128:N128"/>
    <mergeCell ref="O128:Q128"/>
    <mergeCell ref="R128:T128"/>
    <mergeCell ref="W128:AB128"/>
    <mergeCell ref="AC128:AF128"/>
    <mergeCell ref="AG128:AQ128"/>
    <mergeCell ref="B128:G128"/>
    <mergeCell ref="B129:G129"/>
    <mergeCell ref="H129:J129"/>
    <mergeCell ref="L129:N129"/>
    <mergeCell ref="O129:Q129"/>
    <mergeCell ref="R129:T129"/>
    <mergeCell ref="W129:AB129"/>
    <mergeCell ref="W130:AB130"/>
    <mergeCell ref="AC130:AF130"/>
    <mergeCell ref="AC129:AF129"/>
    <mergeCell ref="AG129:AQ129"/>
    <mergeCell ref="H130:J130"/>
    <mergeCell ref="L130:N130"/>
    <mergeCell ref="O130:Q130"/>
    <mergeCell ref="R130:T130"/>
    <mergeCell ref="AG130:AQ130"/>
    <mergeCell ref="AC131:AF131"/>
    <mergeCell ref="AG131:AQ131"/>
    <mergeCell ref="B130:G130"/>
    <mergeCell ref="B131:G131"/>
    <mergeCell ref="H131:J131"/>
    <mergeCell ref="L131:N131"/>
    <mergeCell ref="O131:Q131"/>
    <mergeCell ref="R131:T131"/>
    <mergeCell ref="W131:AB131"/>
    <mergeCell ref="H132:J132"/>
    <mergeCell ref="L132:N132"/>
    <mergeCell ref="O132:Q132"/>
    <mergeCell ref="R132:T132"/>
    <mergeCell ref="W132:AB132"/>
    <mergeCell ref="AC132:AF132"/>
    <mergeCell ref="AG132:AQ132"/>
    <mergeCell ref="B132:G132"/>
    <mergeCell ref="B133:G133"/>
    <mergeCell ref="H133:J133"/>
    <mergeCell ref="L133:N133"/>
    <mergeCell ref="O133:Q133"/>
    <mergeCell ref="R133:T133"/>
    <mergeCell ref="W133:AB133"/>
    <mergeCell ref="W134:AB134"/>
    <mergeCell ref="AC134:AF134"/>
    <mergeCell ref="AC133:AF133"/>
    <mergeCell ref="AG133:AQ133"/>
    <mergeCell ref="H134:J134"/>
    <mergeCell ref="L134:N134"/>
    <mergeCell ref="O134:Q134"/>
    <mergeCell ref="R134:T134"/>
    <mergeCell ref="AG134:AQ134"/>
    <mergeCell ref="AC135:AF135"/>
    <mergeCell ref="AG135:AQ135"/>
    <mergeCell ref="B134:G134"/>
    <mergeCell ref="B135:G135"/>
    <mergeCell ref="H135:J135"/>
    <mergeCell ref="L135:N135"/>
    <mergeCell ref="O135:Q135"/>
    <mergeCell ref="R135:T135"/>
    <mergeCell ref="W135:AB135"/>
    <mergeCell ref="H136:J136"/>
    <mergeCell ref="L136:N136"/>
    <mergeCell ref="O136:Q136"/>
    <mergeCell ref="R136:T136"/>
    <mergeCell ref="W136:AB136"/>
    <mergeCell ref="AC136:AF136"/>
    <mergeCell ref="AG136:AQ136"/>
    <mergeCell ref="B136:G136"/>
    <mergeCell ref="B137:G137"/>
    <mergeCell ref="H137:J137"/>
    <mergeCell ref="L137:N137"/>
    <mergeCell ref="O137:Q137"/>
    <mergeCell ref="R137:T137"/>
    <mergeCell ref="W137:AB137"/>
    <mergeCell ref="W138:AB138"/>
    <mergeCell ref="AC138:AF138"/>
    <mergeCell ref="AC137:AF137"/>
    <mergeCell ref="AG137:AQ137"/>
    <mergeCell ref="H138:J138"/>
    <mergeCell ref="L138:N138"/>
    <mergeCell ref="O138:Q138"/>
    <mergeCell ref="R138:T138"/>
    <mergeCell ref="AG138:AQ138"/>
    <mergeCell ref="AC139:AF139"/>
    <mergeCell ref="AG139:AQ139"/>
    <mergeCell ref="B138:G138"/>
    <mergeCell ref="B139:G139"/>
    <mergeCell ref="H139:J139"/>
    <mergeCell ref="L139:N139"/>
    <mergeCell ref="O139:Q139"/>
    <mergeCell ref="R139:T139"/>
    <mergeCell ref="W139:AB139"/>
    <mergeCell ref="W142:AB142"/>
    <mergeCell ref="AC142:AF142"/>
    <mergeCell ref="AC141:AF141"/>
    <mergeCell ref="AG141:AQ141"/>
    <mergeCell ref="H142:J142"/>
    <mergeCell ref="L142:N142"/>
    <mergeCell ref="O142:Q142"/>
    <mergeCell ref="R142:T142"/>
    <mergeCell ref="AG142:AQ142"/>
    <mergeCell ref="H140:J140"/>
    <mergeCell ref="L140:N140"/>
    <mergeCell ref="O140:Q140"/>
    <mergeCell ref="R140:T140"/>
    <mergeCell ref="W140:AB140"/>
    <mergeCell ref="AC140:AF140"/>
    <mergeCell ref="AG140:AQ140"/>
    <mergeCell ref="B140:G140"/>
    <mergeCell ref="B141:G141"/>
    <mergeCell ref="H141:J141"/>
    <mergeCell ref="L141:N141"/>
    <mergeCell ref="O141:Q141"/>
    <mergeCell ref="R141:T141"/>
    <mergeCell ref="W141:AB141"/>
    <mergeCell ref="AC143:AF143"/>
    <mergeCell ref="AG143:AQ143"/>
    <mergeCell ref="B142:G142"/>
    <mergeCell ref="B143:G143"/>
    <mergeCell ref="H143:J143"/>
    <mergeCell ref="L143:N143"/>
    <mergeCell ref="O143:Q143"/>
    <mergeCell ref="R143:T143"/>
    <mergeCell ref="W143:AB143"/>
    <mergeCell ref="H144:J144"/>
    <mergeCell ref="L144:N144"/>
    <mergeCell ref="O144:Q144"/>
    <mergeCell ref="R144:T144"/>
    <mergeCell ref="W144:AB144"/>
    <mergeCell ref="AC144:AF144"/>
    <mergeCell ref="AG144:AQ144"/>
    <mergeCell ref="B144:G144"/>
    <mergeCell ref="B145:G145"/>
    <mergeCell ref="H145:J145"/>
    <mergeCell ref="L145:N145"/>
    <mergeCell ref="O145:Q145"/>
    <mergeCell ref="R145:T145"/>
    <mergeCell ref="W145:AB145"/>
    <mergeCell ref="W146:AB146"/>
    <mergeCell ref="AC146:AF146"/>
    <mergeCell ref="AC145:AF145"/>
    <mergeCell ref="AG145:AQ145"/>
    <mergeCell ref="H146:J146"/>
    <mergeCell ref="L146:N146"/>
    <mergeCell ref="O146:Q146"/>
    <mergeCell ref="R146:T146"/>
    <mergeCell ref="AG146:AQ146"/>
    <mergeCell ref="AC147:AF147"/>
    <mergeCell ref="AG147:AQ147"/>
    <mergeCell ref="B146:G146"/>
    <mergeCell ref="B147:G147"/>
    <mergeCell ref="H147:J147"/>
    <mergeCell ref="L147:N147"/>
    <mergeCell ref="O147:Q147"/>
    <mergeCell ref="R147:T147"/>
    <mergeCell ref="W147:AB147"/>
    <mergeCell ref="H148:J148"/>
    <mergeCell ref="L148:N148"/>
    <mergeCell ref="O148:Q148"/>
    <mergeCell ref="R148:T148"/>
    <mergeCell ref="W148:AB148"/>
    <mergeCell ref="AC148:AF148"/>
    <mergeCell ref="AG148:AQ148"/>
    <mergeCell ref="B148:G148"/>
    <mergeCell ref="B149:G149"/>
    <mergeCell ref="H149:J149"/>
    <mergeCell ref="L149:N149"/>
    <mergeCell ref="O149:Q149"/>
    <mergeCell ref="R149:T149"/>
    <mergeCell ref="W149:AB149"/>
    <mergeCell ref="W150:AB150"/>
    <mergeCell ref="AC150:AF150"/>
    <mergeCell ref="AC149:AF149"/>
    <mergeCell ref="AG149:AQ149"/>
    <mergeCell ref="H150:J150"/>
    <mergeCell ref="L150:N150"/>
    <mergeCell ref="O150:Q150"/>
    <mergeCell ref="R150:T150"/>
    <mergeCell ref="AG150:AQ150"/>
    <mergeCell ref="AC151:AF151"/>
    <mergeCell ref="AG151:AQ151"/>
    <mergeCell ref="B150:G150"/>
    <mergeCell ref="B151:G151"/>
    <mergeCell ref="H151:J151"/>
    <mergeCell ref="L151:N151"/>
    <mergeCell ref="O151:Q151"/>
    <mergeCell ref="R151:T151"/>
    <mergeCell ref="W151:AB151"/>
    <mergeCell ref="H152:J152"/>
    <mergeCell ref="L152:N152"/>
    <mergeCell ref="O152:Q152"/>
    <mergeCell ref="R152:T152"/>
    <mergeCell ref="W152:AB152"/>
    <mergeCell ref="AC152:AF152"/>
    <mergeCell ref="AG152:AQ152"/>
    <mergeCell ref="B152:G152"/>
    <mergeCell ref="B153:G153"/>
    <mergeCell ref="H153:J153"/>
    <mergeCell ref="L153:N153"/>
    <mergeCell ref="O153:Q153"/>
    <mergeCell ref="R153:T153"/>
    <mergeCell ref="W153:AB153"/>
    <mergeCell ref="W154:AB154"/>
    <mergeCell ref="AC154:AF154"/>
    <mergeCell ref="AC153:AF153"/>
    <mergeCell ref="AG153:AQ153"/>
    <mergeCell ref="H154:J154"/>
    <mergeCell ref="L154:N154"/>
    <mergeCell ref="O154:Q154"/>
    <mergeCell ref="R154:T154"/>
    <mergeCell ref="AG154:AQ154"/>
    <mergeCell ref="AC155:AF155"/>
    <mergeCell ref="AG155:AQ155"/>
    <mergeCell ref="B154:G154"/>
    <mergeCell ref="B155:G155"/>
    <mergeCell ref="H155:J155"/>
    <mergeCell ref="L155:N155"/>
    <mergeCell ref="O155:Q155"/>
    <mergeCell ref="R155:T155"/>
    <mergeCell ref="W155:AB155"/>
    <mergeCell ref="H156:J156"/>
    <mergeCell ref="L156:N156"/>
    <mergeCell ref="O156:Q156"/>
    <mergeCell ref="R156:T156"/>
    <mergeCell ref="W156:AB156"/>
    <mergeCell ref="AC156:AF156"/>
    <mergeCell ref="AG156:AQ156"/>
    <mergeCell ref="B156:G156"/>
    <mergeCell ref="B157:G157"/>
    <mergeCell ref="H157:J157"/>
    <mergeCell ref="L157:N157"/>
    <mergeCell ref="O157:Q157"/>
    <mergeCell ref="R157:T157"/>
    <mergeCell ref="W157:AB157"/>
    <mergeCell ref="W158:AB158"/>
    <mergeCell ref="AC158:AF158"/>
    <mergeCell ref="AC157:AF157"/>
    <mergeCell ref="AG157:AQ157"/>
    <mergeCell ref="H158:J158"/>
    <mergeCell ref="L158:N158"/>
    <mergeCell ref="O158:Q158"/>
    <mergeCell ref="R158:T158"/>
    <mergeCell ref="AG158:AQ158"/>
    <mergeCell ref="AC159:AF159"/>
    <mergeCell ref="AG159:AQ159"/>
    <mergeCell ref="B158:G158"/>
    <mergeCell ref="B159:G159"/>
    <mergeCell ref="H159:J159"/>
    <mergeCell ref="L159:N159"/>
    <mergeCell ref="O159:Q159"/>
    <mergeCell ref="R159:T159"/>
    <mergeCell ref="W159:AB159"/>
    <mergeCell ref="H160:J160"/>
    <mergeCell ref="L160:N160"/>
    <mergeCell ref="O160:Q160"/>
    <mergeCell ref="R160:T160"/>
    <mergeCell ref="W160:AB160"/>
    <mergeCell ref="AC160:AF160"/>
    <mergeCell ref="AG160:AQ160"/>
    <mergeCell ref="B160:G160"/>
    <mergeCell ref="B161:G161"/>
    <mergeCell ref="H161:J161"/>
    <mergeCell ref="L161:N161"/>
    <mergeCell ref="O161:Q161"/>
    <mergeCell ref="R161:T161"/>
    <mergeCell ref="W161:AB161"/>
    <mergeCell ref="W162:AB162"/>
    <mergeCell ref="AC162:AF162"/>
    <mergeCell ref="AC161:AF161"/>
    <mergeCell ref="AG161:AQ161"/>
    <mergeCell ref="H162:J162"/>
    <mergeCell ref="L162:N162"/>
    <mergeCell ref="O162:Q162"/>
    <mergeCell ref="R162:T162"/>
    <mergeCell ref="AG162:AQ162"/>
    <mergeCell ref="AC163:AF163"/>
    <mergeCell ref="AG163:AQ163"/>
    <mergeCell ref="B162:G162"/>
    <mergeCell ref="B163:G163"/>
    <mergeCell ref="H163:J163"/>
    <mergeCell ref="L163:N163"/>
    <mergeCell ref="O163:Q163"/>
    <mergeCell ref="R163:T163"/>
    <mergeCell ref="W163:AB163"/>
    <mergeCell ref="H164:J164"/>
    <mergeCell ref="L164:N164"/>
    <mergeCell ref="O164:Q164"/>
    <mergeCell ref="R164:T164"/>
    <mergeCell ref="W164:AB164"/>
    <mergeCell ref="AC164:AF164"/>
    <mergeCell ref="AG164:AQ164"/>
    <mergeCell ref="B164:G164"/>
    <mergeCell ref="B165:G165"/>
    <mergeCell ref="H165:J165"/>
    <mergeCell ref="L165:N165"/>
    <mergeCell ref="O165:Q165"/>
    <mergeCell ref="R165:T165"/>
    <mergeCell ref="W165:AB165"/>
    <mergeCell ref="W166:AB166"/>
    <mergeCell ref="AC166:AF166"/>
    <mergeCell ref="AC165:AF165"/>
    <mergeCell ref="AG165:AQ165"/>
    <mergeCell ref="H166:J166"/>
    <mergeCell ref="L166:N166"/>
    <mergeCell ref="O166:Q166"/>
    <mergeCell ref="R166:T166"/>
    <mergeCell ref="AG166:AQ166"/>
    <mergeCell ref="AC167:AF167"/>
    <mergeCell ref="AG167:AQ167"/>
    <mergeCell ref="B166:G166"/>
    <mergeCell ref="B167:G167"/>
    <mergeCell ref="H167:J167"/>
    <mergeCell ref="L167:N167"/>
    <mergeCell ref="O167:Q167"/>
    <mergeCell ref="R167:T167"/>
    <mergeCell ref="W167:AB167"/>
    <mergeCell ref="W170:AB170"/>
    <mergeCell ref="AC170:AF170"/>
    <mergeCell ref="AC169:AF169"/>
    <mergeCell ref="AG169:AQ169"/>
    <mergeCell ref="H170:J170"/>
    <mergeCell ref="L170:N170"/>
    <mergeCell ref="O170:Q170"/>
    <mergeCell ref="R170:T170"/>
    <mergeCell ref="AG170:AQ170"/>
    <mergeCell ref="H168:J168"/>
    <mergeCell ref="L168:N168"/>
    <mergeCell ref="O168:Q168"/>
    <mergeCell ref="R168:T168"/>
    <mergeCell ref="W168:AB168"/>
    <mergeCell ref="AC168:AF168"/>
    <mergeCell ref="AG168:AQ168"/>
    <mergeCell ref="B168:G168"/>
    <mergeCell ref="B169:G169"/>
    <mergeCell ref="H169:J169"/>
    <mergeCell ref="L169:N169"/>
    <mergeCell ref="O169:Q169"/>
    <mergeCell ref="R169:T169"/>
    <mergeCell ref="W169:AB169"/>
    <mergeCell ref="AC171:AF171"/>
    <mergeCell ref="AG171:AQ171"/>
    <mergeCell ref="B170:G170"/>
    <mergeCell ref="B171:G171"/>
    <mergeCell ref="H171:J171"/>
    <mergeCell ref="L171:N171"/>
    <mergeCell ref="O171:Q171"/>
    <mergeCell ref="R171:T171"/>
    <mergeCell ref="W171:AB171"/>
    <mergeCell ref="H172:J172"/>
    <mergeCell ref="L172:N172"/>
    <mergeCell ref="O172:Q172"/>
    <mergeCell ref="R172:T172"/>
    <mergeCell ref="W172:AB172"/>
    <mergeCell ref="AC172:AF172"/>
    <mergeCell ref="AG172:AQ172"/>
    <mergeCell ref="B172:G172"/>
    <mergeCell ref="B173:G173"/>
    <mergeCell ref="H173:J173"/>
    <mergeCell ref="L173:N173"/>
    <mergeCell ref="O173:Q173"/>
    <mergeCell ref="R173:T173"/>
    <mergeCell ref="W173:AB173"/>
    <mergeCell ref="W174:AB174"/>
    <mergeCell ref="AC174:AF174"/>
    <mergeCell ref="AC173:AF173"/>
    <mergeCell ref="AG173:AQ173"/>
    <mergeCell ref="H174:J174"/>
    <mergeCell ref="L174:N174"/>
    <mergeCell ref="O174:Q174"/>
    <mergeCell ref="R174:T174"/>
    <mergeCell ref="AG174:AQ174"/>
    <mergeCell ref="AC175:AF175"/>
    <mergeCell ref="AG175:AQ175"/>
    <mergeCell ref="B174:G174"/>
    <mergeCell ref="B175:G175"/>
    <mergeCell ref="H175:J175"/>
    <mergeCell ref="L175:N175"/>
    <mergeCell ref="O175:Q175"/>
    <mergeCell ref="R175:T175"/>
    <mergeCell ref="W175:AB175"/>
    <mergeCell ref="H176:J176"/>
    <mergeCell ref="L176:N176"/>
    <mergeCell ref="O176:Q176"/>
    <mergeCell ref="R176:T176"/>
    <mergeCell ref="W176:AB176"/>
    <mergeCell ref="AC176:AF176"/>
    <mergeCell ref="AG176:AQ176"/>
    <mergeCell ref="B176:G176"/>
    <mergeCell ref="B177:G177"/>
    <mergeCell ref="H177:J177"/>
    <mergeCell ref="L177:N177"/>
    <mergeCell ref="O177:Q177"/>
    <mergeCell ref="R177:T177"/>
    <mergeCell ref="W177:AB177"/>
    <mergeCell ref="W178:AB178"/>
    <mergeCell ref="AC178:AF178"/>
    <mergeCell ref="AC177:AF177"/>
    <mergeCell ref="AG177:AQ177"/>
    <mergeCell ref="H178:J178"/>
    <mergeCell ref="L178:N178"/>
    <mergeCell ref="O178:Q178"/>
    <mergeCell ref="R178:T178"/>
    <mergeCell ref="AG178:AQ178"/>
    <mergeCell ref="AC179:AF179"/>
    <mergeCell ref="AG179:AQ179"/>
    <mergeCell ref="B178:G178"/>
    <mergeCell ref="B179:G179"/>
    <mergeCell ref="H179:J179"/>
    <mergeCell ref="L179:N179"/>
    <mergeCell ref="O179:Q179"/>
    <mergeCell ref="R179:T179"/>
    <mergeCell ref="W179:AB179"/>
    <mergeCell ref="H180:J180"/>
    <mergeCell ref="L180:N180"/>
    <mergeCell ref="O180:Q180"/>
    <mergeCell ref="R180:T180"/>
    <mergeCell ref="W180:AB180"/>
    <mergeCell ref="AC180:AF180"/>
    <mergeCell ref="AG180:AQ180"/>
    <mergeCell ref="B180:G180"/>
    <mergeCell ref="B181:G181"/>
    <mergeCell ref="H181:J181"/>
    <mergeCell ref="L181:N181"/>
    <mergeCell ref="O181:Q181"/>
    <mergeCell ref="R181:T181"/>
    <mergeCell ref="W181:AB181"/>
    <mergeCell ref="W182:AB182"/>
    <mergeCell ref="AC182:AF182"/>
    <mergeCell ref="AC181:AF181"/>
    <mergeCell ref="AG181:AQ181"/>
    <mergeCell ref="H182:J182"/>
    <mergeCell ref="L182:N182"/>
    <mergeCell ref="O182:Q182"/>
    <mergeCell ref="R182:T182"/>
    <mergeCell ref="AG182:AQ182"/>
    <mergeCell ref="AC183:AF183"/>
    <mergeCell ref="AG183:AQ183"/>
    <mergeCell ref="B182:G182"/>
    <mergeCell ref="B183:G183"/>
    <mergeCell ref="H183:J183"/>
    <mergeCell ref="L183:N183"/>
    <mergeCell ref="O183:Q183"/>
    <mergeCell ref="R183:T183"/>
    <mergeCell ref="W183:AB183"/>
    <mergeCell ref="H184:J184"/>
    <mergeCell ref="L184:N184"/>
    <mergeCell ref="O184:Q184"/>
    <mergeCell ref="R184:T184"/>
    <mergeCell ref="W184:AB184"/>
    <mergeCell ref="AC184:AF184"/>
    <mergeCell ref="AG184:AQ184"/>
    <mergeCell ref="B184:G184"/>
    <mergeCell ref="B185:G185"/>
    <mergeCell ref="H185:J185"/>
    <mergeCell ref="L185:N185"/>
    <mergeCell ref="O185:Q185"/>
    <mergeCell ref="R185:T185"/>
    <mergeCell ref="W185:AB185"/>
    <mergeCell ref="W186:AB186"/>
    <mergeCell ref="AC186:AF186"/>
    <mergeCell ref="AC185:AF185"/>
    <mergeCell ref="AG185:AQ185"/>
    <mergeCell ref="H186:J186"/>
    <mergeCell ref="L186:N186"/>
    <mergeCell ref="O186:Q186"/>
    <mergeCell ref="R186:T186"/>
    <mergeCell ref="AG186:AQ186"/>
    <mergeCell ref="AC187:AF187"/>
    <mergeCell ref="AG187:AQ187"/>
    <mergeCell ref="B186:G186"/>
    <mergeCell ref="B187:G187"/>
    <mergeCell ref="H187:J187"/>
    <mergeCell ref="L187:N187"/>
    <mergeCell ref="O187:Q187"/>
    <mergeCell ref="R187:T187"/>
    <mergeCell ref="W187:AB187"/>
    <mergeCell ref="H188:J188"/>
    <mergeCell ref="L188:N188"/>
    <mergeCell ref="O188:Q188"/>
    <mergeCell ref="R188:T188"/>
    <mergeCell ref="W188:AB188"/>
    <mergeCell ref="AC188:AF188"/>
    <mergeCell ref="AG188:AQ188"/>
    <mergeCell ref="B188:G188"/>
    <mergeCell ref="B189:G189"/>
    <mergeCell ref="H189:J189"/>
    <mergeCell ref="L189:N189"/>
    <mergeCell ref="O189:Q189"/>
    <mergeCell ref="R189:T189"/>
    <mergeCell ref="W189:AB189"/>
    <mergeCell ref="W190:AB190"/>
    <mergeCell ref="AC190:AF190"/>
    <mergeCell ref="AC189:AF189"/>
    <mergeCell ref="AG189:AQ189"/>
    <mergeCell ref="H190:J190"/>
    <mergeCell ref="L190:N190"/>
    <mergeCell ref="O190:Q190"/>
    <mergeCell ref="R190:T190"/>
    <mergeCell ref="AG190:AQ190"/>
    <mergeCell ref="AC191:AF191"/>
    <mergeCell ref="AG191:AQ191"/>
    <mergeCell ref="B190:G190"/>
    <mergeCell ref="B191:G191"/>
    <mergeCell ref="H191:J191"/>
    <mergeCell ref="L191:N191"/>
    <mergeCell ref="O191:Q191"/>
    <mergeCell ref="R191:T191"/>
    <mergeCell ref="W191:AB191"/>
    <mergeCell ref="H192:J192"/>
    <mergeCell ref="L192:N192"/>
    <mergeCell ref="O192:Q192"/>
    <mergeCell ref="R192:T192"/>
    <mergeCell ref="W192:AB192"/>
    <mergeCell ref="AC192:AF192"/>
    <mergeCell ref="AG192:AQ192"/>
    <mergeCell ref="B192:G192"/>
    <mergeCell ref="B193:G193"/>
    <mergeCell ref="H193:J193"/>
    <mergeCell ref="L193:N193"/>
    <mergeCell ref="O193:Q193"/>
    <mergeCell ref="R193:T193"/>
    <mergeCell ref="W193:AB193"/>
    <mergeCell ref="W194:AB194"/>
    <mergeCell ref="AC194:AF194"/>
    <mergeCell ref="AC193:AF193"/>
    <mergeCell ref="AG193:AQ193"/>
    <mergeCell ref="H194:J194"/>
    <mergeCell ref="L194:N194"/>
    <mergeCell ref="O194:Q194"/>
    <mergeCell ref="R194:T194"/>
    <mergeCell ref="AG194:AQ194"/>
    <mergeCell ref="AC195:AF195"/>
    <mergeCell ref="AG195:AQ195"/>
    <mergeCell ref="B194:G194"/>
    <mergeCell ref="B195:G195"/>
    <mergeCell ref="H195:J195"/>
    <mergeCell ref="L195:N195"/>
    <mergeCell ref="O195:Q195"/>
    <mergeCell ref="R195:T195"/>
    <mergeCell ref="W195:AB195"/>
    <mergeCell ref="W198:AB198"/>
    <mergeCell ref="AC198:AF198"/>
    <mergeCell ref="AC197:AF197"/>
    <mergeCell ref="AG197:AQ197"/>
    <mergeCell ref="H198:J198"/>
    <mergeCell ref="L198:N198"/>
    <mergeCell ref="O198:Q198"/>
    <mergeCell ref="R198:T198"/>
    <mergeCell ref="AG198:AQ198"/>
    <mergeCell ref="H196:J196"/>
    <mergeCell ref="L196:N196"/>
    <mergeCell ref="O196:Q196"/>
    <mergeCell ref="R196:T196"/>
    <mergeCell ref="W196:AB196"/>
    <mergeCell ref="AC196:AF196"/>
    <mergeCell ref="AG196:AQ196"/>
    <mergeCell ref="B196:G196"/>
    <mergeCell ref="B197:G197"/>
    <mergeCell ref="H197:J197"/>
    <mergeCell ref="L197:N197"/>
    <mergeCell ref="O197:Q197"/>
    <mergeCell ref="R197:T197"/>
    <mergeCell ref="W197:AB197"/>
    <mergeCell ref="AC199:AF199"/>
    <mergeCell ref="AG199:AQ199"/>
    <mergeCell ref="B198:G198"/>
    <mergeCell ref="B199:G199"/>
    <mergeCell ref="H199:J199"/>
    <mergeCell ref="L199:N199"/>
    <mergeCell ref="O199:Q199"/>
    <mergeCell ref="R199:T199"/>
    <mergeCell ref="W199:AB199"/>
    <mergeCell ref="H200:J200"/>
    <mergeCell ref="L200:N200"/>
    <mergeCell ref="O200:Q200"/>
    <mergeCell ref="R200:T200"/>
    <mergeCell ref="W200:AB200"/>
    <mergeCell ref="AC200:AF200"/>
    <mergeCell ref="AG200:AQ200"/>
    <mergeCell ref="B200:G200"/>
    <mergeCell ref="B201:G201"/>
    <mergeCell ref="H201:J201"/>
    <mergeCell ref="L201:N201"/>
    <mergeCell ref="O201:Q201"/>
    <mergeCell ref="R201:T201"/>
    <mergeCell ref="W201:AB201"/>
    <mergeCell ref="W202:AB202"/>
    <mergeCell ref="AC202:AF202"/>
    <mergeCell ref="AC201:AF201"/>
    <mergeCell ref="AG201:AQ201"/>
    <mergeCell ref="H202:J202"/>
    <mergeCell ref="L202:N202"/>
    <mergeCell ref="O202:Q202"/>
    <mergeCell ref="R202:T202"/>
    <mergeCell ref="AG202:AQ202"/>
    <mergeCell ref="AC203:AF203"/>
    <mergeCell ref="AG203:AQ203"/>
    <mergeCell ref="B202:G202"/>
    <mergeCell ref="B203:G203"/>
    <mergeCell ref="H203:J203"/>
    <mergeCell ref="L203:N203"/>
    <mergeCell ref="O203:Q203"/>
    <mergeCell ref="R203:T203"/>
    <mergeCell ref="W203:AB203"/>
    <mergeCell ref="H204:J204"/>
    <mergeCell ref="L204:N204"/>
    <mergeCell ref="O204:Q204"/>
    <mergeCell ref="R204:T204"/>
    <mergeCell ref="W204:AB204"/>
    <mergeCell ref="AC204:AF204"/>
    <mergeCell ref="AG204:AQ204"/>
    <mergeCell ref="B204:G204"/>
    <mergeCell ref="B205:G205"/>
    <mergeCell ref="H205:J205"/>
    <mergeCell ref="L205:N205"/>
    <mergeCell ref="O205:Q205"/>
    <mergeCell ref="R205:T205"/>
    <mergeCell ref="W205:AB205"/>
    <mergeCell ref="W206:AB206"/>
    <mergeCell ref="AC206:AF206"/>
    <mergeCell ref="AC205:AF205"/>
    <mergeCell ref="AG205:AQ205"/>
    <mergeCell ref="H206:J206"/>
    <mergeCell ref="L206:N206"/>
    <mergeCell ref="O206:Q206"/>
    <mergeCell ref="R206:T206"/>
    <mergeCell ref="AG206:AQ206"/>
    <mergeCell ref="AC207:AF207"/>
    <mergeCell ref="AG207:AQ207"/>
    <mergeCell ref="B206:G206"/>
    <mergeCell ref="B207:G207"/>
    <mergeCell ref="H207:J207"/>
    <mergeCell ref="L207:N207"/>
    <mergeCell ref="O207:Q207"/>
    <mergeCell ref="R207:T207"/>
    <mergeCell ref="W207:AB207"/>
    <mergeCell ref="H208:J208"/>
    <mergeCell ref="L208:N208"/>
    <mergeCell ref="O208:Q208"/>
    <mergeCell ref="R208:T208"/>
    <mergeCell ref="W208:AB208"/>
    <mergeCell ref="AC208:AF208"/>
    <mergeCell ref="AG208:AQ208"/>
    <mergeCell ref="B208:G208"/>
    <mergeCell ref="B209:G209"/>
    <mergeCell ref="H209:J209"/>
    <mergeCell ref="L209:N209"/>
    <mergeCell ref="O209:Q209"/>
    <mergeCell ref="R209:T209"/>
    <mergeCell ref="W209:AB209"/>
    <mergeCell ref="W210:AB210"/>
    <mergeCell ref="AC210:AF210"/>
    <mergeCell ref="AC209:AF209"/>
    <mergeCell ref="AG209:AQ209"/>
    <mergeCell ref="H210:J210"/>
    <mergeCell ref="L210:N210"/>
    <mergeCell ref="O210:Q210"/>
    <mergeCell ref="R210:T210"/>
    <mergeCell ref="AG210:AQ210"/>
    <mergeCell ref="AC211:AF211"/>
    <mergeCell ref="AG211:AQ211"/>
    <mergeCell ref="B210:G210"/>
    <mergeCell ref="B211:G211"/>
    <mergeCell ref="H211:J211"/>
    <mergeCell ref="L211:N211"/>
    <mergeCell ref="O211:Q211"/>
    <mergeCell ref="R211:T211"/>
    <mergeCell ref="W211:AB211"/>
    <mergeCell ref="H212:J212"/>
    <mergeCell ref="L212:N212"/>
    <mergeCell ref="O212:Q212"/>
    <mergeCell ref="R212:T212"/>
    <mergeCell ref="W212:AB212"/>
    <mergeCell ref="AC212:AF212"/>
    <mergeCell ref="AG212:AQ212"/>
    <mergeCell ref="B212:G212"/>
    <mergeCell ref="B213:G213"/>
    <mergeCell ref="H213:J213"/>
    <mergeCell ref="L213:N213"/>
    <mergeCell ref="O213:Q213"/>
    <mergeCell ref="R213:T213"/>
    <mergeCell ref="W213:AB213"/>
    <mergeCell ref="W214:AB214"/>
    <mergeCell ref="AC214:AF214"/>
    <mergeCell ref="AC213:AF213"/>
    <mergeCell ref="AG213:AQ213"/>
    <mergeCell ref="H214:J214"/>
    <mergeCell ref="L214:N214"/>
    <mergeCell ref="O214:Q214"/>
    <mergeCell ref="R214:T214"/>
    <mergeCell ref="AG214:AQ214"/>
    <mergeCell ref="AC215:AF215"/>
    <mergeCell ref="AG215:AQ215"/>
    <mergeCell ref="B214:G214"/>
    <mergeCell ref="B215:G215"/>
    <mergeCell ref="H215:J215"/>
    <mergeCell ref="L215:N215"/>
    <mergeCell ref="O215:Q215"/>
    <mergeCell ref="R215:T215"/>
    <mergeCell ref="W215:AB215"/>
    <mergeCell ref="H216:J216"/>
    <mergeCell ref="L216:N216"/>
    <mergeCell ref="O216:Q216"/>
    <mergeCell ref="R216:T216"/>
    <mergeCell ref="W216:AB216"/>
    <mergeCell ref="AC216:AF216"/>
    <mergeCell ref="AG216:AQ216"/>
    <mergeCell ref="B216:G216"/>
    <mergeCell ref="B217:G217"/>
    <mergeCell ref="H217:J217"/>
    <mergeCell ref="L217:N217"/>
    <mergeCell ref="O217:Q217"/>
    <mergeCell ref="R217:T217"/>
    <mergeCell ref="W217:AB217"/>
    <mergeCell ref="W218:AB218"/>
    <mergeCell ref="AC218:AF218"/>
    <mergeCell ref="AC217:AF217"/>
    <mergeCell ref="AG217:AQ217"/>
    <mergeCell ref="H218:J218"/>
    <mergeCell ref="L218:N218"/>
    <mergeCell ref="O218:Q218"/>
    <mergeCell ref="R218:T218"/>
    <mergeCell ref="AG218:AQ218"/>
    <mergeCell ref="AC219:AF219"/>
    <mergeCell ref="AG219:AQ219"/>
    <mergeCell ref="B218:G218"/>
    <mergeCell ref="B219:G219"/>
    <mergeCell ref="H219:J219"/>
    <mergeCell ref="L219:N219"/>
    <mergeCell ref="O219:Q219"/>
    <mergeCell ref="R219:T219"/>
    <mergeCell ref="W219:AB219"/>
    <mergeCell ref="H220:J220"/>
    <mergeCell ref="L220:N220"/>
    <mergeCell ref="O220:Q220"/>
    <mergeCell ref="R220:T220"/>
    <mergeCell ref="W220:AB220"/>
    <mergeCell ref="AC220:AF220"/>
    <mergeCell ref="AG220:AQ220"/>
    <mergeCell ref="B220:G220"/>
    <mergeCell ref="B221:G221"/>
    <mergeCell ref="H221:J221"/>
    <mergeCell ref="L221:N221"/>
    <mergeCell ref="O221:Q221"/>
    <mergeCell ref="R221:T221"/>
    <mergeCell ref="W221:AB221"/>
    <mergeCell ref="W222:AB222"/>
    <mergeCell ref="AC222:AF222"/>
    <mergeCell ref="AC221:AF221"/>
    <mergeCell ref="AG221:AQ221"/>
    <mergeCell ref="H222:J222"/>
    <mergeCell ref="L222:N222"/>
    <mergeCell ref="O222:Q222"/>
    <mergeCell ref="R222:T222"/>
    <mergeCell ref="AG222:AQ222"/>
    <mergeCell ref="AC223:AF223"/>
    <mergeCell ref="AG223:AQ223"/>
    <mergeCell ref="B222:G222"/>
    <mergeCell ref="B223:G223"/>
    <mergeCell ref="H223:J223"/>
    <mergeCell ref="L223:N223"/>
    <mergeCell ref="O223:Q223"/>
    <mergeCell ref="R223:T223"/>
    <mergeCell ref="W223:AB223"/>
    <mergeCell ref="W226:AB226"/>
    <mergeCell ref="AC226:AF226"/>
    <mergeCell ref="AC225:AF225"/>
    <mergeCell ref="AG225:AQ225"/>
    <mergeCell ref="H226:J226"/>
    <mergeCell ref="L226:N226"/>
    <mergeCell ref="O226:Q226"/>
    <mergeCell ref="R226:T226"/>
    <mergeCell ref="AG226:AQ226"/>
    <mergeCell ref="H224:J224"/>
    <mergeCell ref="L224:N224"/>
    <mergeCell ref="O224:Q224"/>
    <mergeCell ref="R224:T224"/>
    <mergeCell ref="W224:AB224"/>
    <mergeCell ref="AC224:AF224"/>
    <mergeCell ref="AG224:AQ224"/>
    <mergeCell ref="B224:G224"/>
    <mergeCell ref="B225:G225"/>
    <mergeCell ref="H225:J225"/>
    <mergeCell ref="L225:N225"/>
    <mergeCell ref="O225:Q225"/>
    <mergeCell ref="R225:T225"/>
    <mergeCell ref="W225:AB225"/>
    <mergeCell ref="AC227:AF227"/>
    <mergeCell ref="AG227:AQ227"/>
    <mergeCell ref="B226:G226"/>
    <mergeCell ref="B227:G227"/>
    <mergeCell ref="H227:J227"/>
    <mergeCell ref="L227:N227"/>
    <mergeCell ref="O227:Q227"/>
    <mergeCell ref="R227:T227"/>
    <mergeCell ref="W227:AB227"/>
    <mergeCell ref="H228:J228"/>
    <mergeCell ref="L228:N228"/>
    <mergeCell ref="O228:Q228"/>
    <mergeCell ref="R228:T228"/>
    <mergeCell ref="W228:AB228"/>
    <mergeCell ref="AC228:AF228"/>
    <mergeCell ref="AG228:AQ228"/>
    <mergeCell ref="B228:G228"/>
    <mergeCell ref="B229:G229"/>
    <mergeCell ref="H229:J229"/>
    <mergeCell ref="L229:N229"/>
    <mergeCell ref="O229:Q229"/>
    <mergeCell ref="R229:T229"/>
    <mergeCell ref="W229:AB229"/>
    <mergeCell ref="W230:AB230"/>
    <mergeCell ref="AC230:AF230"/>
    <mergeCell ref="AC229:AF229"/>
    <mergeCell ref="AG229:AQ229"/>
    <mergeCell ref="H230:J230"/>
    <mergeCell ref="L230:N230"/>
    <mergeCell ref="O230:Q230"/>
    <mergeCell ref="R230:T230"/>
    <mergeCell ref="AG230:AQ230"/>
    <mergeCell ref="AC231:AF231"/>
    <mergeCell ref="AG231:AQ231"/>
    <mergeCell ref="B230:G230"/>
    <mergeCell ref="B231:G231"/>
    <mergeCell ref="H231:J231"/>
    <mergeCell ref="L231:N231"/>
    <mergeCell ref="O231:Q231"/>
    <mergeCell ref="R231:T231"/>
    <mergeCell ref="W231:AB231"/>
    <mergeCell ref="H232:J232"/>
    <mergeCell ref="L232:N232"/>
    <mergeCell ref="O232:Q232"/>
    <mergeCell ref="R232:T232"/>
    <mergeCell ref="W232:AB232"/>
    <mergeCell ref="AC232:AF232"/>
    <mergeCell ref="AG232:AQ232"/>
    <mergeCell ref="B232:G232"/>
    <mergeCell ref="B233:G233"/>
    <mergeCell ref="H233:J233"/>
    <mergeCell ref="L233:N233"/>
    <mergeCell ref="O233:Q233"/>
    <mergeCell ref="R233:T233"/>
    <mergeCell ref="W233:AB233"/>
    <mergeCell ref="W234:AB234"/>
    <mergeCell ref="AC234:AF234"/>
    <mergeCell ref="AC233:AF233"/>
    <mergeCell ref="AG233:AQ233"/>
    <mergeCell ref="H234:J234"/>
    <mergeCell ref="L234:N234"/>
    <mergeCell ref="O234:Q234"/>
    <mergeCell ref="R234:T234"/>
    <mergeCell ref="AG234:AQ234"/>
    <mergeCell ref="AC235:AF235"/>
    <mergeCell ref="AG235:AQ235"/>
    <mergeCell ref="B234:G234"/>
    <mergeCell ref="B235:G235"/>
    <mergeCell ref="H235:J235"/>
    <mergeCell ref="L235:N235"/>
    <mergeCell ref="O235:Q235"/>
    <mergeCell ref="R235:T235"/>
    <mergeCell ref="W235:AB235"/>
    <mergeCell ref="H236:J236"/>
    <mergeCell ref="L236:N236"/>
    <mergeCell ref="O236:Q236"/>
    <mergeCell ref="R236:T236"/>
    <mergeCell ref="W236:AB236"/>
    <mergeCell ref="AC236:AF236"/>
    <mergeCell ref="AG236:AQ236"/>
    <mergeCell ref="B236:G236"/>
    <mergeCell ref="B237:G237"/>
    <mergeCell ref="H237:J237"/>
    <mergeCell ref="L237:N237"/>
    <mergeCell ref="O237:Q237"/>
    <mergeCell ref="R237:T237"/>
    <mergeCell ref="W237:AB237"/>
    <mergeCell ref="W238:AB238"/>
    <mergeCell ref="AC238:AF238"/>
    <mergeCell ref="AC237:AF237"/>
    <mergeCell ref="AG237:AQ237"/>
    <mergeCell ref="H238:J238"/>
    <mergeCell ref="L238:N238"/>
    <mergeCell ref="O238:Q238"/>
    <mergeCell ref="R238:T238"/>
    <mergeCell ref="AG238:AQ238"/>
    <mergeCell ref="AC239:AF239"/>
    <mergeCell ref="AG239:AQ239"/>
    <mergeCell ref="B238:G238"/>
    <mergeCell ref="B239:G239"/>
    <mergeCell ref="H239:J239"/>
    <mergeCell ref="L239:N239"/>
    <mergeCell ref="O239:Q239"/>
    <mergeCell ref="R239:T239"/>
    <mergeCell ref="W239:AB239"/>
    <mergeCell ref="H240:J240"/>
    <mergeCell ref="L240:N240"/>
    <mergeCell ref="O240:Q240"/>
    <mergeCell ref="R240:T240"/>
    <mergeCell ref="W240:AB240"/>
    <mergeCell ref="AC240:AF240"/>
    <mergeCell ref="AG240:AQ240"/>
    <mergeCell ref="B240:G240"/>
    <mergeCell ref="B241:G241"/>
    <mergeCell ref="H241:J241"/>
    <mergeCell ref="L241:N241"/>
    <mergeCell ref="O241:Q241"/>
    <mergeCell ref="R241:T241"/>
    <mergeCell ref="W241:AB241"/>
    <mergeCell ref="W242:AB242"/>
    <mergeCell ref="AC242:AF242"/>
    <mergeCell ref="AC241:AF241"/>
    <mergeCell ref="AG241:AQ241"/>
    <mergeCell ref="H242:J242"/>
    <mergeCell ref="L242:N242"/>
    <mergeCell ref="O242:Q242"/>
    <mergeCell ref="R242:T242"/>
    <mergeCell ref="AG242:AQ242"/>
    <mergeCell ref="AC243:AF243"/>
    <mergeCell ref="AG243:AQ243"/>
    <mergeCell ref="B242:G242"/>
    <mergeCell ref="B243:G243"/>
    <mergeCell ref="H243:J243"/>
    <mergeCell ref="L243:N243"/>
    <mergeCell ref="O243:Q243"/>
    <mergeCell ref="R243:T243"/>
    <mergeCell ref="W243:AB243"/>
    <mergeCell ref="H308:J308"/>
    <mergeCell ref="L308:N308"/>
    <mergeCell ref="O308:Q308"/>
    <mergeCell ref="R308:T308"/>
    <mergeCell ref="W308:AB308"/>
    <mergeCell ref="AC308:AF308"/>
    <mergeCell ref="AG308:AQ308"/>
    <mergeCell ref="B308:G308"/>
    <mergeCell ref="B309:G309"/>
    <mergeCell ref="H309:J309"/>
    <mergeCell ref="L309:N309"/>
    <mergeCell ref="O309:Q309"/>
    <mergeCell ref="R309:T309"/>
    <mergeCell ref="W309:AB309"/>
    <mergeCell ref="AC311:AF311"/>
    <mergeCell ref="AG311:AQ311"/>
    <mergeCell ref="B310:G310"/>
    <mergeCell ref="B311:G311"/>
    <mergeCell ref="H311:J311"/>
    <mergeCell ref="L311:N311"/>
    <mergeCell ref="O311:Q311"/>
    <mergeCell ref="R311:T311"/>
    <mergeCell ref="W311:AB311"/>
    <mergeCell ref="H312:J312"/>
    <mergeCell ref="L312:N312"/>
    <mergeCell ref="O312:Q312"/>
    <mergeCell ref="R312:T312"/>
    <mergeCell ref="W312:AB312"/>
    <mergeCell ref="AC312:AF312"/>
    <mergeCell ref="AG312:AQ312"/>
    <mergeCell ref="B312:G312"/>
    <mergeCell ref="B313:G313"/>
    <mergeCell ref="H313:J313"/>
    <mergeCell ref="L313:N313"/>
    <mergeCell ref="O313:Q313"/>
    <mergeCell ref="R313:T313"/>
    <mergeCell ref="W313:AB313"/>
    <mergeCell ref="W314:AB314"/>
    <mergeCell ref="AC314:AF314"/>
    <mergeCell ref="AC313:AF313"/>
    <mergeCell ref="AG313:AQ313"/>
    <mergeCell ref="H314:J314"/>
    <mergeCell ref="L314:N314"/>
    <mergeCell ref="O314:Q314"/>
    <mergeCell ref="R314:T314"/>
    <mergeCell ref="AG314:AQ314"/>
    <mergeCell ref="AC315:AF315"/>
    <mergeCell ref="AG315:AQ315"/>
    <mergeCell ref="B314:G314"/>
    <mergeCell ref="B315:G315"/>
    <mergeCell ref="H315:J315"/>
    <mergeCell ref="L315:N315"/>
    <mergeCell ref="O315:Q315"/>
    <mergeCell ref="R315:T315"/>
    <mergeCell ref="W315:AB315"/>
    <mergeCell ref="H316:J316"/>
    <mergeCell ref="L316:N316"/>
    <mergeCell ref="O316:Q316"/>
    <mergeCell ref="R316:T316"/>
    <mergeCell ref="W316:AB316"/>
    <mergeCell ref="AC316:AF316"/>
    <mergeCell ref="AG316:AQ316"/>
    <mergeCell ref="B316:G316"/>
    <mergeCell ref="B317:G317"/>
    <mergeCell ref="H317:J317"/>
    <mergeCell ref="L317:N317"/>
    <mergeCell ref="O317:Q317"/>
    <mergeCell ref="R317:T317"/>
    <mergeCell ref="W317:AB317"/>
    <mergeCell ref="W318:AB318"/>
    <mergeCell ref="AC318:AF318"/>
    <mergeCell ref="AC317:AF317"/>
    <mergeCell ref="AG317:AQ317"/>
    <mergeCell ref="H318:J318"/>
    <mergeCell ref="L318:N318"/>
    <mergeCell ref="O318:Q318"/>
    <mergeCell ref="R318:T318"/>
    <mergeCell ref="AG318:AQ318"/>
    <mergeCell ref="AC327:AF327"/>
    <mergeCell ref="AG327:AQ327"/>
    <mergeCell ref="B326:G326"/>
    <mergeCell ref="B327:G327"/>
    <mergeCell ref="H327:J327"/>
    <mergeCell ref="L327:N327"/>
    <mergeCell ref="O327:Q327"/>
    <mergeCell ref="R327:T327"/>
    <mergeCell ref="W327:AB327"/>
    <mergeCell ref="H98:J98"/>
    <mergeCell ref="L98:N98"/>
    <mergeCell ref="O98:Q98"/>
    <mergeCell ref="R98:T98"/>
    <mergeCell ref="W98:AB98"/>
    <mergeCell ref="AC98:AF98"/>
    <mergeCell ref="AG98:AQ98"/>
    <mergeCell ref="B98:G98"/>
    <mergeCell ref="B99:G99"/>
    <mergeCell ref="H99:J99"/>
    <mergeCell ref="L99:N99"/>
    <mergeCell ref="O99:Q99"/>
    <mergeCell ref="R99:T99"/>
    <mergeCell ref="W99:AB99"/>
    <mergeCell ref="H100:J100"/>
    <mergeCell ref="L100:N100"/>
    <mergeCell ref="O100:Q100"/>
    <mergeCell ref="R100:T100"/>
    <mergeCell ref="W100:AB100"/>
    <mergeCell ref="AC100:AF100"/>
    <mergeCell ref="AG100:AQ100"/>
    <mergeCell ref="AC101:AF101"/>
    <mergeCell ref="AG101:AQ101"/>
    <mergeCell ref="B100:G100"/>
    <mergeCell ref="B101:G101"/>
    <mergeCell ref="H101:J101"/>
    <mergeCell ref="L101:N101"/>
    <mergeCell ref="O101:Q101"/>
    <mergeCell ref="R101:T101"/>
    <mergeCell ref="W101:AB101"/>
    <mergeCell ref="AC103:AF103"/>
    <mergeCell ref="AG103:AQ103"/>
    <mergeCell ref="B328:G328"/>
    <mergeCell ref="H328:J328"/>
    <mergeCell ref="L328:N328"/>
    <mergeCell ref="O328:Q328"/>
    <mergeCell ref="R328:T328"/>
    <mergeCell ref="AC328:AF328"/>
    <mergeCell ref="AG328:AQ328"/>
    <mergeCell ref="AC319:AF319"/>
    <mergeCell ref="AG319:AQ319"/>
    <mergeCell ref="B318:G318"/>
    <mergeCell ref="B319:G319"/>
    <mergeCell ref="H319:J319"/>
    <mergeCell ref="L319:N319"/>
    <mergeCell ref="O319:Q319"/>
    <mergeCell ref="R319:T319"/>
    <mergeCell ref="W319:AB319"/>
    <mergeCell ref="H320:J320"/>
    <mergeCell ref="L320:N320"/>
    <mergeCell ref="O320:Q320"/>
    <mergeCell ref="R320:T320"/>
    <mergeCell ref="W320:AB320"/>
    <mergeCell ref="AC320:AF320"/>
    <mergeCell ref="AG320:AQ320"/>
    <mergeCell ref="B320:G320"/>
    <mergeCell ref="B321:G321"/>
    <mergeCell ref="H321:J321"/>
    <mergeCell ref="L321:N321"/>
    <mergeCell ref="O321:Q321"/>
    <mergeCell ref="R321:T321"/>
    <mergeCell ref="W321:AB321"/>
    <mergeCell ref="W322:AB322"/>
    <mergeCell ref="AC322:AF322"/>
    <mergeCell ref="AC321:AF321"/>
    <mergeCell ref="AG321:AQ321"/>
    <mergeCell ref="H322:J322"/>
    <mergeCell ref="L322:N322"/>
    <mergeCell ref="O322:Q322"/>
    <mergeCell ref="R322:T322"/>
    <mergeCell ref="AG322:AQ322"/>
    <mergeCell ref="AC323:AF323"/>
    <mergeCell ref="AG323:AQ323"/>
    <mergeCell ref="B322:G322"/>
    <mergeCell ref="B323:G323"/>
    <mergeCell ref="H323:J323"/>
    <mergeCell ref="L323:N323"/>
    <mergeCell ref="O323:Q323"/>
    <mergeCell ref="R323:T323"/>
    <mergeCell ref="W323:AB323"/>
    <mergeCell ref="H324:J324"/>
    <mergeCell ref="L324:N324"/>
    <mergeCell ref="O324:Q324"/>
    <mergeCell ref="R324:T324"/>
    <mergeCell ref="W324:AB324"/>
    <mergeCell ref="AC324:AF324"/>
    <mergeCell ref="AG324:AQ324"/>
    <mergeCell ref="B324:G324"/>
    <mergeCell ref="B325:G325"/>
    <mergeCell ref="H325:J325"/>
    <mergeCell ref="L325:N325"/>
    <mergeCell ref="O325:Q325"/>
    <mergeCell ref="R325:T325"/>
    <mergeCell ref="W325:AB325"/>
    <mergeCell ref="W326:AB326"/>
    <mergeCell ref="AC326:AF326"/>
    <mergeCell ref="AC325:AF325"/>
    <mergeCell ref="AG325:AQ325"/>
    <mergeCell ref="H326:J326"/>
    <mergeCell ref="L326:N326"/>
    <mergeCell ref="O326:Q326"/>
    <mergeCell ref="R326:T326"/>
    <mergeCell ref="AG326:AQ326"/>
    <mergeCell ref="W331:AB331"/>
    <mergeCell ref="AC331:AF331"/>
    <mergeCell ref="AG331:AQ331"/>
    <mergeCell ref="W328:AB328"/>
    <mergeCell ref="W329:AB329"/>
    <mergeCell ref="AC329:AF329"/>
    <mergeCell ref="AG329:AQ329"/>
    <mergeCell ref="W330:AB330"/>
    <mergeCell ref="AC330:AF330"/>
    <mergeCell ref="AG330:AQ330"/>
    <mergeCell ref="H244:J244"/>
    <mergeCell ref="L244:N244"/>
    <mergeCell ref="O244:Q244"/>
    <mergeCell ref="R244:T244"/>
    <mergeCell ref="W244:AB244"/>
    <mergeCell ref="AC244:AF244"/>
    <mergeCell ref="AG244:AQ244"/>
    <mergeCell ref="B244:G244"/>
    <mergeCell ref="B245:G245"/>
    <mergeCell ref="H245:J245"/>
    <mergeCell ref="L245:N245"/>
    <mergeCell ref="O245:Q245"/>
    <mergeCell ref="R245:T245"/>
    <mergeCell ref="W245:AB245"/>
    <mergeCell ref="W246:AB246"/>
    <mergeCell ref="AC246:AF246"/>
    <mergeCell ref="AC245:AF245"/>
    <mergeCell ref="AG245:AQ245"/>
    <mergeCell ref="H246:J246"/>
    <mergeCell ref="L246:N246"/>
    <mergeCell ref="O246:Q246"/>
    <mergeCell ref="R246:T246"/>
    <mergeCell ref="AG246:AQ246"/>
    <mergeCell ref="AC247:AF247"/>
    <mergeCell ref="AG247:AQ247"/>
    <mergeCell ref="B246:G246"/>
    <mergeCell ref="B247:G247"/>
    <mergeCell ref="H247:J247"/>
    <mergeCell ref="L247:N247"/>
    <mergeCell ref="O247:Q247"/>
    <mergeCell ref="R247:T247"/>
    <mergeCell ref="W247:AB247"/>
    <mergeCell ref="H248:J248"/>
    <mergeCell ref="L248:N248"/>
    <mergeCell ref="O248:Q248"/>
    <mergeCell ref="R248:T248"/>
    <mergeCell ref="W248:AB248"/>
    <mergeCell ref="AC248:AF248"/>
    <mergeCell ref="AG248:AQ248"/>
    <mergeCell ref="B248:G248"/>
    <mergeCell ref="B249:G249"/>
    <mergeCell ref="H249:J249"/>
    <mergeCell ref="L249:N249"/>
    <mergeCell ref="O249:Q249"/>
    <mergeCell ref="R249:T249"/>
    <mergeCell ref="W249:AB249"/>
    <mergeCell ref="W250:AB250"/>
    <mergeCell ref="AC250:AF250"/>
    <mergeCell ref="AC249:AF249"/>
    <mergeCell ref="AG249:AQ249"/>
    <mergeCell ref="H250:J250"/>
    <mergeCell ref="L250:N250"/>
    <mergeCell ref="O250:Q250"/>
    <mergeCell ref="R250:T250"/>
    <mergeCell ref="AG250:AQ250"/>
    <mergeCell ref="AC251:AF251"/>
    <mergeCell ref="AG251:AQ251"/>
    <mergeCell ref="B250:G250"/>
    <mergeCell ref="B251:G251"/>
    <mergeCell ref="H251:J251"/>
    <mergeCell ref="L251:N251"/>
    <mergeCell ref="O251:Q251"/>
    <mergeCell ref="R251:T251"/>
    <mergeCell ref="W251:AB251"/>
    <mergeCell ref="W254:AB254"/>
    <mergeCell ref="AC254:AF254"/>
    <mergeCell ref="AC253:AF253"/>
    <mergeCell ref="AG253:AQ253"/>
    <mergeCell ref="H254:J254"/>
    <mergeCell ref="L254:N254"/>
    <mergeCell ref="O254:Q254"/>
    <mergeCell ref="R254:T254"/>
    <mergeCell ref="AG254:AQ254"/>
    <mergeCell ref="H252:J252"/>
    <mergeCell ref="L252:N252"/>
    <mergeCell ref="O252:Q252"/>
    <mergeCell ref="R252:T252"/>
    <mergeCell ref="W252:AB252"/>
    <mergeCell ref="AC252:AF252"/>
    <mergeCell ref="AG252:AQ252"/>
    <mergeCell ref="B252:G252"/>
    <mergeCell ref="B253:G253"/>
    <mergeCell ref="H253:J253"/>
    <mergeCell ref="L253:N253"/>
    <mergeCell ref="O253:Q253"/>
    <mergeCell ref="R253:T253"/>
    <mergeCell ref="W253:AB253"/>
    <mergeCell ref="AC255:AF255"/>
    <mergeCell ref="AG255:AQ255"/>
    <mergeCell ref="B254:G254"/>
    <mergeCell ref="B255:G255"/>
    <mergeCell ref="H255:J255"/>
    <mergeCell ref="L255:N255"/>
    <mergeCell ref="O255:Q255"/>
    <mergeCell ref="R255:T255"/>
    <mergeCell ref="W255:AB255"/>
    <mergeCell ref="H256:J256"/>
    <mergeCell ref="L256:N256"/>
    <mergeCell ref="O256:Q256"/>
    <mergeCell ref="R256:T256"/>
    <mergeCell ref="W256:AB256"/>
    <mergeCell ref="AC256:AF256"/>
    <mergeCell ref="AG256:AQ256"/>
    <mergeCell ref="B256:G256"/>
    <mergeCell ref="B257:G257"/>
    <mergeCell ref="H257:J257"/>
    <mergeCell ref="L257:N257"/>
    <mergeCell ref="O257:Q257"/>
    <mergeCell ref="R257:T257"/>
    <mergeCell ref="W257:AB257"/>
    <mergeCell ref="W258:AB258"/>
    <mergeCell ref="AC258:AF258"/>
    <mergeCell ref="AC257:AF257"/>
    <mergeCell ref="AG257:AQ257"/>
    <mergeCell ref="H258:J258"/>
    <mergeCell ref="L258:N258"/>
    <mergeCell ref="O258:Q258"/>
    <mergeCell ref="R258:T258"/>
    <mergeCell ref="AG258:AQ258"/>
    <mergeCell ref="AC259:AF259"/>
    <mergeCell ref="AG259:AQ259"/>
    <mergeCell ref="B258:G258"/>
    <mergeCell ref="B259:G259"/>
    <mergeCell ref="H259:J259"/>
    <mergeCell ref="L259:N259"/>
    <mergeCell ref="O259:Q259"/>
    <mergeCell ref="R259:T259"/>
    <mergeCell ref="W259:AB259"/>
    <mergeCell ref="H260:J260"/>
    <mergeCell ref="L260:N260"/>
    <mergeCell ref="O260:Q260"/>
    <mergeCell ref="R260:T260"/>
    <mergeCell ref="W260:AB260"/>
    <mergeCell ref="AC260:AF260"/>
    <mergeCell ref="AG260:AQ260"/>
    <mergeCell ref="B260:G260"/>
    <mergeCell ref="B261:G261"/>
    <mergeCell ref="H261:J261"/>
    <mergeCell ref="L261:N261"/>
    <mergeCell ref="O261:Q261"/>
    <mergeCell ref="R261:T261"/>
    <mergeCell ref="W261:AB261"/>
    <mergeCell ref="W262:AB262"/>
    <mergeCell ref="AC262:AF262"/>
    <mergeCell ref="AC261:AF261"/>
    <mergeCell ref="AG261:AQ261"/>
    <mergeCell ref="H262:J262"/>
    <mergeCell ref="L262:N262"/>
    <mergeCell ref="O262:Q262"/>
    <mergeCell ref="R262:T262"/>
    <mergeCell ref="AG262:AQ262"/>
    <mergeCell ref="AC263:AF263"/>
    <mergeCell ref="AG263:AQ263"/>
    <mergeCell ref="B262:G262"/>
    <mergeCell ref="B263:G263"/>
    <mergeCell ref="H263:J263"/>
    <mergeCell ref="L263:N263"/>
    <mergeCell ref="O263:Q263"/>
    <mergeCell ref="R263:T263"/>
    <mergeCell ref="W263:AB263"/>
    <mergeCell ref="H264:J264"/>
    <mergeCell ref="L264:N264"/>
    <mergeCell ref="O264:Q264"/>
    <mergeCell ref="R264:T264"/>
    <mergeCell ref="W264:AB264"/>
    <mergeCell ref="AC264:AF264"/>
    <mergeCell ref="AG264:AQ264"/>
    <mergeCell ref="B264:G264"/>
    <mergeCell ref="B265:G265"/>
    <mergeCell ref="H265:J265"/>
    <mergeCell ref="L265:N265"/>
    <mergeCell ref="O265:Q265"/>
    <mergeCell ref="R265:T265"/>
    <mergeCell ref="W265:AB265"/>
    <mergeCell ref="W266:AB266"/>
    <mergeCell ref="AC266:AF266"/>
    <mergeCell ref="AC265:AF265"/>
    <mergeCell ref="AG265:AQ265"/>
    <mergeCell ref="H266:J266"/>
    <mergeCell ref="L266:N266"/>
    <mergeCell ref="O266:Q266"/>
    <mergeCell ref="R266:T266"/>
    <mergeCell ref="AG266:AQ266"/>
    <mergeCell ref="AC267:AF267"/>
    <mergeCell ref="AG267:AQ267"/>
    <mergeCell ref="B266:G266"/>
    <mergeCell ref="B267:G267"/>
    <mergeCell ref="H267:J267"/>
    <mergeCell ref="L267:N267"/>
    <mergeCell ref="O267:Q267"/>
    <mergeCell ref="R267:T267"/>
    <mergeCell ref="W267:AB267"/>
    <mergeCell ref="H268:J268"/>
    <mergeCell ref="L268:N268"/>
    <mergeCell ref="O268:Q268"/>
    <mergeCell ref="R268:T268"/>
    <mergeCell ref="W268:AB268"/>
    <mergeCell ref="AC268:AF268"/>
    <mergeCell ref="AG268:AQ268"/>
    <mergeCell ref="B268:G268"/>
    <mergeCell ref="B269:G269"/>
    <mergeCell ref="H269:J269"/>
    <mergeCell ref="L269:N269"/>
    <mergeCell ref="O269:Q269"/>
    <mergeCell ref="R269:T269"/>
    <mergeCell ref="W269:AB269"/>
    <mergeCell ref="W270:AB270"/>
    <mergeCell ref="AC270:AF270"/>
    <mergeCell ref="AC269:AF269"/>
    <mergeCell ref="AG269:AQ269"/>
    <mergeCell ref="H270:J270"/>
    <mergeCell ref="L270:N270"/>
    <mergeCell ref="O270:Q270"/>
    <mergeCell ref="R270:T270"/>
    <mergeCell ref="AG270:AQ270"/>
    <mergeCell ref="AC271:AF271"/>
    <mergeCell ref="AG271:AQ271"/>
    <mergeCell ref="B270:G270"/>
    <mergeCell ref="B271:G271"/>
    <mergeCell ref="H271:J271"/>
    <mergeCell ref="L271:N271"/>
    <mergeCell ref="O271:Q271"/>
    <mergeCell ref="R271:T271"/>
    <mergeCell ref="W271:AB271"/>
    <mergeCell ref="H272:J272"/>
    <mergeCell ref="L272:N272"/>
    <mergeCell ref="O272:Q272"/>
    <mergeCell ref="R272:T272"/>
    <mergeCell ref="W272:AB272"/>
    <mergeCell ref="AC272:AF272"/>
    <mergeCell ref="AG272:AQ272"/>
    <mergeCell ref="B272:G272"/>
    <mergeCell ref="B273:G273"/>
    <mergeCell ref="H273:J273"/>
    <mergeCell ref="L273:N273"/>
    <mergeCell ref="O273:Q273"/>
    <mergeCell ref="R273:T273"/>
    <mergeCell ref="W273:AB273"/>
    <mergeCell ref="W274:AB274"/>
    <mergeCell ref="AC274:AF274"/>
    <mergeCell ref="AC273:AF273"/>
    <mergeCell ref="AG273:AQ273"/>
    <mergeCell ref="H274:J274"/>
    <mergeCell ref="L274:N274"/>
    <mergeCell ref="O274:Q274"/>
    <mergeCell ref="R274:T274"/>
    <mergeCell ref="AG274:AQ274"/>
    <mergeCell ref="AC275:AF275"/>
    <mergeCell ref="AG275:AQ275"/>
    <mergeCell ref="B274:G274"/>
    <mergeCell ref="B275:G275"/>
    <mergeCell ref="H275:J275"/>
    <mergeCell ref="L275:N275"/>
    <mergeCell ref="O275:Q275"/>
    <mergeCell ref="R275:T275"/>
    <mergeCell ref="W275:AB275"/>
    <mergeCell ref="H276:J276"/>
    <mergeCell ref="L276:N276"/>
    <mergeCell ref="O276:Q276"/>
    <mergeCell ref="R276:T276"/>
    <mergeCell ref="W276:AB276"/>
    <mergeCell ref="AC276:AF276"/>
    <mergeCell ref="AG276:AQ276"/>
    <mergeCell ref="B276:G276"/>
    <mergeCell ref="B277:G277"/>
    <mergeCell ref="H277:J277"/>
    <mergeCell ref="L277:N277"/>
    <mergeCell ref="O277:Q277"/>
    <mergeCell ref="R277:T277"/>
    <mergeCell ref="W277:AB277"/>
    <mergeCell ref="W278:AB278"/>
    <mergeCell ref="AC278:AF278"/>
    <mergeCell ref="AC277:AF277"/>
    <mergeCell ref="AG277:AQ277"/>
    <mergeCell ref="H278:J278"/>
    <mergeCell ref="L278:N278"/>
    <mergeCell ref="O278:Q278"/>
    <mergeCell ref="R278:T278"/>
    <mergeCell ref="AG278:AQ278"/>
    <mergeCell ref="AC279:AF279"/>
    <mergeCell ref="AG279:AQ279"/>
    <mergeCell ref="B278:G278"/>
    <mergeCell ref="B279:G279"/>
    <mergeCell ref="H279:J279"/>
    <mergeCell ref="L279:N279"/>
    <mergeCell ref="O279:Q279"/>
    <mergeCell ref="R279:T279"/>
    <mergeCell ref="W279:AB279"/>
    <mergeCell ref="W282:AB282"/>
    <mergeCell ref="AC282:AF282"/>
    <mergeCell ref="AC281:AF281"/>
    <mergeCell ref="AG281:AQ281"/>
    <mergeCell ref="H282:J282"/>
    <mergeCell ref="L282:N282"/>
    <mergeCell ref="O282:Q282"/>
    <mergeCell ref="R282:T282"/>
    <mergeCell ref="AG282:AQ282"/>
    <mergeCell ref="H280:J280"/>
    <mergeCell ref="L280:N280"/>
    <mergeCell ref="O280:Q280"/>
    <mergeCell ref="R280:T280"/>
    <mergeCell ref="W280:AB280"/>
    <mergeCell ref="AC280:AF280"/>
    <mergeCell ref="AG280:AQ280"/>
    <mergeCell ref="B280:G280"/>
    <mergeCell ref="B281:G281"/>
    <mergeCell ref="H281:J281"/>
    <mergeCell ref="L281:N281"/>
    <mergeCell ref="O281:Q281"/>
    <mergeCell ref="R281:T281"/>
    <mergeCell ref="W281:AB281"/>
    <mergeCell ref="AC283:AF283"/>
    <mergeCell ref="AG283:AQ283"/>
    <mergeCell ref="B282:G282"/>
    <mergeCell ref="B283:G283"/>
    <mergeCell ref="H283:J283"/>
    <mergeCell ref="L283:N283"/>
    <mergeCell ref="O283:Q283"/>
    <mergeCell ref="R283:T283"/>
    <mergeCell ref="W283:AB283"/>
    <mergeCell ref="H284:J284"/>
    <mergeCell ref="L284:N284"/>
    <mergeCell ref="O284:Q284"/>
    <mergeCell ref="R284:T284"/>
    <mergeCell ref="W284:AB284"/>
    <mergeCell ref="AC284:AF284"/>
    <mergeCell ref="AG284:AQ284"/>
    <mergeCell ref="B284:G284"/>
    <mergeCell ref="B285:G285"/>
    <mergeCell ref="H285:J285"/>
    <mergeCell ref="L285:N285"/>
    <mergeCell ref="O285:Q285"/>
    <mergeCell ref="R285:T285"/>
    <mergeCell ref="W285:AB285"/>
    <mergeCell ref="W286:AB286"/>
    <mergeCell ref="AC286:AF286"/>
    <mergeCell ref="AC285:AF285"/>
    <mergeCell ref="AG285:AQ285"/>
    <mergeCell ref="H286:J286"/>
    <mergeCell ref="L286:N286"/>
    <mergeCell ref="O286:Q286"/>
    <mergeCell ref="R286:T286"/>
    <mergeCell ref="AG286:AQ286"/>
    <mergeCell ref="AC287:AF287"/>
    <mergeCell ref="AG287:AQ287"/>
    <mergeCell ref="B286:G286"/>
    <mergeCell ref="B287:G287"/>
    <mergeCell ref="H287:J287"/>
    <mergeCell ref="L287:N287"/>
    <mergeCell ref="O287:Q287"/>
    <mergeCell ref="R287:T287"/>
    <mergeCell ref="W287:AB287"/>
    <mergeCell ref="H288:J288"/>
    <mergeCell ref="L288:N288"/>
    <mergeCell ref="O288:Q288"/>
    <mergeCell ref="R288:T288"/>
    <mergeCell ref="W288:AB288"/>
    <mergeCell ref="AC288:AF288"/>
    <mergeCell ref="AG288:AQ288"/>
    <mergeCell ref="B288:G288"/>
    <mergeCell ref="B289:G289"/>
    <mergeCell ref="H289:J289"/>
    <mergeCell ref="L289:N289"/>
    <mergeCell ref="O289:Q289"/>
    <mergeCell ref="R289:T289"/>
    <mergeCell ref="W289:AB289"/>
    <mergeCell ref="W290:AB290"/>
    <mergeCell ref="AC290:AF290"/>
    <mergeCell ref="AC289:AF289"/>
    <mergeCell ref="AG289:AQ289"/>
    <mergeCell ref="H290:J290"/>
    <mergeCell ref="L290:N290"/>
    <mergeCell ref="O290:Q290"/>
    <mergeCell ref="R290:T290"/>
    <mergeCell ref="AG290:AQ290"/>
    <mergeCell ref="AC291:AF291"/>
    <mergeCell ref="AG291:AQ291"/>
    <mergeCell ref="B290:G290"/>
    <mergeCell ref="B291:G291"/>
    <mergeCell ref="H291:J291"/>
    <mergeCell ref="L291:N291"/>
    <mergeCell ref="O291:Q291"/>
    <mergeCell ref="R291:T291"/>
    <mergeCell ref="W291:AB291"/>
    <mergeCell ref="H292:J292"/>
    <mergeCell ref="L292:N292"/>
    <mergeCell ref="O292:Q292"/>
    <mergeCell ref="R292:T292"/>
    <mergeCell ref="W292:AB292"/>
    <mergeCell ref="AC292:AF292"/>
    <mergeCell ref="AG292:AQ292"/>
    <mergeCell ref="B292:G292"/>
    <mergeCell ref="B293:G293"/>
    <mergeCell ref="H293:J293"/>
    <mergeCell ref="L293:N293"/>
    <mergeCell ref="O293:Q293"/>
    <mergeCell ref="R293:T293"/>
    <mergeCell ref="W293:AB293"/>
    <mergeCell ref="W294:AB294"/>
    <mergeCell ref="AC294:AF294"/>
    <mergeCell ref="AC293:AF293"/>
    <mergeCell ref="AG293:AQ293"/>
    <mergeCell ref="H294:J294"/>
    <mergeCell ref="L294:N294"/>
    <mergeCell ref="O294:Q294"/>
    <mergeCell ref="R294:T294"/>
    <mergeCell ref="AG294:AQ294"/>
    <mergeCell ref="AC295:AF295"/>
    <mergeCell ref="AG295:AQ295"/>
    <mergeCell ref="B294:G294"/>
    <mergeCell ref="B295:G295"/>
    <mergeCell ref="H295:J295"/>
    <mergeCell ref="L295:N295"/>
    <mergeCell ref="O295:Q295"/>
    <mergeCell ref="R295:T295"/>
    <mergeCell ref="W295:AB295"/>
    <mergeCell ref="H296:J296"/>
    <mergeCell ref="L296:N296"/>
    <mergeCell ref="O296:Q296"/>
    <mergeCell ref="R296:T296"/>
    <mergeCell ref="W296:AB296"/>
    <mergeCell ref="AC296:AF296"/>
    <mergeCell ref="AG296:AQ296"/>
    <mergeCell ref="B296:G296"/>
    <mergeCell ref="B297:G297"/>
    <mergeCell ref="H297:J297"/>
    <mergeCell ref="L297:N297"/>
    <mergeCell ref="O297:Q297"/>
    <mergeCell ref="R297:T297"/>
    <mergeCell ref="W297:AB297"/>
    <mergeCell ref="W298:AB298"/>
    <mergeCell ref="AC298:AF298"/>
    <mergeCell ref="AC297:AF297"/>
    <mergeCell ref="AG297:AQ297"/>
    <mergeCell ref="H298:J298"/>
    <mergeCell ref="L298:N298"/>
    <mergeCell ref="O298:Q298"/>
    <mergeCell ref="R298:T298"/>
    <mergeCell ref="AG298:AQ298"/>
    <mergeCell ref="AC299:AF299"/>
    <mergeCell ref="AG299:AQ299"/>
    <mergeCell ref="B298:G298"/>
    <mergeCell ref="B299:G299"/>
    <mergeCell ref="H299:J299"/>
    <mergeCell ref="L299:N299"/>
    <mergeCell ref="O299:Q299"/>
    <mergeCell ref="R299:T299"/>
    <mergeCell ref="W299:AB299"/>
    <mergeCell ref="H300:J300"/>
    <mergeCell ref="L300:N300"/>
    <mergeCell ref="O300:Q300"/>
    <mergeCell ref="R300:T300"/>
    <mergeCell ref="W300:AB300"/>
    <mergeCell ref="AC300:AF300"/>
    <mergeCell ref="AG300:AQ300"/>
    <mergeCell ref="B300:G300"/>
    <mergeCell ref="B301:G301"/>
    <mergeCell ref="H301:J301"/>
    <mergeCell ref="L301:N301"/>
    <mergeCell ref="O301:Q301"/>
    <mergeCell ref="R301:T301"/>
    <mergeCell ref="W301:AB301"/>
    <mergeCell ref="W302:AB302"/>
    <mergeCell ref="AC302:AF302"/>
    <mergeCell ref="AC301:AF301"/>
    <mergeCell ref="AG301:AQ301"/>
    <mergeCell ref="H302:J302"/>
    <mergeCell ref="L302:N302"/>
    <mergeCell ref="O302:Q302"/>
    <mergeCell ref="R302:T302"/>
    <mergeCell ref="AG302:AQ302"/>
    <mergeCell ref="AC303:AF303"/>
    <mergeCell ref="AG303:AQ303"/>
    <mergeCell ref="B302:G302"/>
    <mergeCell ref="B303:G303"/>
    <mergeCell ref="H303:J303"/>
    <mergeCell ref="L303:N303"/>
    <mergeCell ref="O303:Q303"/>
    <mergeCell ref="R303:T303"/>
    <mergeCell ref="W303:AB303"/>
    <mergeCell ref="H304:J304"/>
    <mergeCell ref="L304:N304"/>
    <mergeCell ref="O304:Q304"/>
    <mergeCell ref="R304:T304"/>
    <mergeCell ref="W304:AB304"/>
    <mergeCell ref="AC304:AF304"/>
    <mergeCell ref="AG304:AQ304"/>
    <mergeCell ref="B304:G304"/>
    <mergeCell ref="B305:G305"/>
    <mergeCell ref="H305:J305"/>
    <mergeCell ref="L305:N305"/>
    <mergeCell ref="O305:Q305"/>
    <mergeCell ref="R305:T305"/>
    <mergeCell ref="W305:AB305"/>
    <mergeCell ref="W306:AB306"/>
    <mergeCell ref="AC306:AF306"/>
    <mergeCell ref="AC305:AF305"/>
    <mergeCell ref="AG305:AQ305"/>
    <mergeCell ref="H306:J306"/>
    <mergeCell ref="L306:N306"/>
    <mergeCell ref="O306:Q306"/>
    <mergeCell ref="R306:T306"/>
    <mergeCell ref="AG306:AQ306"/>
    <mergeCell ref="AC307:AF307"/>
    <mergeCell ref="AG307:AQ307"/>
    <mergeCell ref="B306:G306"/>
    <mergeCell ref="B307:G307"/>
    <mergeCell ref="H307:J307"/>
    <mergeCell ref="L307:N307"/>
    <mergeCell ref="O307:Q307"/>
    <mergeCell ref="R307:T307"/>
    <mergeCell ref="W307:AB307"/>
    <mergeCell ref="W310:AB310"/>
    <mergeCell ref="AC310:AF310"/>
    <mergeCell ref="AC309:AF309"/>
    <mergeCell ref="AG309:AQ309"/>
    <mergeCell ref="H310:J310"/>
    <mergeCell ref="L310:N310"/>
    <mergeCell ref="O310:Q310"/>
    <mergeCell ref="R310:T310"/>
    <mergeCell ref="AG310:AQ310"/>
  </mergeCells>
  <conditionalFormatting sqref="R7:U7 W7:Z7 AB7:AE7 C9:F9 H9:K9 H13:K13 M14:P14 R14:U14 M16:P16 R16:U16 AB17:AE18 C18:F18 H18:K18 M19:P20 R19:U20 W25:Z29 M27:P27 R27:U27 AE27 M29:P29 U29 BA29:BD30 BF29:BI35 AG30:AH31 M32:P48 R32:U44 W32:Z67 AB32:AE67 AG34:AH54 AI35:AJ35 AL35:AO35 BA35:BD35 C37:F57 H37:K57 AI37:AJ40 AL37:AO37 BA37:BD39 BF37:BI39 AQ41:AT42 BA41:BD52 BE41:BE45 BF41:BI52 BJ41:BJ45 AI42:AJ54 AK42 AL42:AO54 AP42 AK44:AK54 AP44:AP51 AQ44:AS48 AU44:AU48 AW44:AX44 AY44:AZ48 R46:U48 AT46:AT48 AA47:AA63 AF47:AF56 BE47 BJ47 AQ50:AQ66 AS50:AS66 BE50:BE52 BJ50 AR51:AR66 AT51:AT66 AV51:AY66 AZ57:AZ64 AF59 AF62:AF63 C69:F73 G69 H69:H73 I69:K72 L69 M69:P76 Q69 R69:R76 S69:U73 V69 W69:W80 X69:Z79 AA69 AB69:AB80 AC69:AF79 AG69:AJ69 AL69:AO74 AP69:AP73 AQ69:AU69 AV69:AV75 AW69:AZ74 BA69:BE69 BF69:BF77 BG69:BJ75 G72 L72 Q72:Q73 V72 AQ73:AT75 BA75:BD77 AG77:AJ77 AL77">
    <cfRule type="containsText" dxfId="8" priority="1" operator="containsText" text="COMPLETED">
      <formula>NOT(ISERROR(SEARCH(("COMPLETED"),(R7))))</formula>
    </cfRule>
  </conditionalFormatting>
  <conditionalFormatting sqref="C3 H3 M3 R3 W3 AB3 AG3 AL3 AQ3 AV3 BA3 BF3 M8 R8 W8 AB8 AG8 AL8 C9 H9 M10 R10 AQ12 AV12 W13 AB13 H14 M16 R16 C17 H17 AB18:AB19 BA20 BF20 M21 R21 AG21 AL21 M23 R23 W23 AB23 M25 R25 AL26 M28 R28 W28 AB28 BA29 BF29 M30 R30 AG30 AL30 M32:M33 R32:R33 W32 AB32 AL32 BF33:BF35 AG35 AL35 BA35 C37 H37 AG37 AL37 BA37 BF37 W38 AB38 C39:C40 H39:H40 M39:M40 R39:R40 AQ39 AV39 W40:W42 AB40:AB42 AG41:AG43 AL41:AL43 AQ41:AQ44 BA41 BF41 C42:C43 H42:H43 M42:M48 R43 AV43:AV44 BA43 BF43 C45:C52 H45:H52 R45 AG45 AL45 AQ46:AQ52 BA46:BA52 BF46:BF52 R47:R48 W47 AB47 AG47:AG54 AI47 AL47:AL54 W49:W62 AB49 AV49:AV52 AI50:AI54 AB52 AR52 AT52 BC52 BE52 BH52 C54:C57 AB54:AB55 AQ54:AQ56 H55 AV56 AB57:AB58 Y58 AA58 AD58 AQ58:AQ63 AV58 AB60:AB61 C69:C72 H69:H72 M69:M72 R69:R73 W69:W77 AB69 AG69 AL69 AQ69 AV69 BA69 BF69">
    <cfRule type="expression" dxfId="9" priority="2">
      <formula>C7="COMPLETED"</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3" max="20" width="15.88"/>
  </cols>
  <sheetData>
    <row r="1">
      <c r="A1" s="131"/>
      <c r="B1" s="132" t="s">
        <v>45</v>
      </c>
      <c r="C1" s="132"/>
      <c r="D1" s="132"/>
      <c r="E1" s="132"/>
      <c r="F1" s="132"/>
      <c r="G1" s="132"/>
      <c r="H1" s="132"/>
      <c r="I1" s="132"/>
      <c r="J1" s="132"/>
      <c r="K1" s="132"/>
      <c r="L1" s="132"/>
      <c r="M1" s="132"/>
      <c r="N1" s="132"/>
      <c r="O1" s="132"/>
      <c r="P1" s="132"/>
      <c r="Q1" s="132"/>
      <c r="R1" s="132"/>
      <c r="S1" s="132"/>
      <c r="T1" s="132"/>
    </row>
    <row r="2" ht="22.5" customHeight="1">
      <c r="A2" s="134" t="s">
        <v>46</v>
      </c>
      <c r="B2" s="135" t="s">
        <v>59</v>
      </c>
      <c r="C2" s="135" t="s">
        <v>60</v>
      </c>
      <c r="D2" s="135" t="s">
        <v>61</v>
      </c>
      <c r="E2" s="135" t="s">
        <v>62</v>
      </c>
      <c r="F2" s="135" t="s">
        <v>63</v>
      </c>
      <c r="G2" s="135" t="s">
        <v>64</v>
      </c>
      <c r="H2" s="135" t="s">
        <v>65</v>
      </c>
      <c r="I2" s="135" t="s">
        <v>66</v>
      </c>
      <c r="J2" s="135" t="s">
        <v>67</v>
      </c>
      <c r="K2" s="135" t="s">
        <v>68</v>
      </c>
      <c r="L2" s="135" t="s">
        <v>69</v>
      </c>
      <c r="M2" s="135" t="s">
        <v>70</v>
      </c>
      <c r="N2" s="135" t="s">
        <v>71</v>
      </c>
      <c r="O2" s="135" t="s">
        <v>72</v>
      </c>
      <c r="P2" s="135" t="s">
        <v>73</v>
      </c>
      <c r="Q2" s="135" t="s">
        <v>74</v>
      </c>
      <c r="R2" s="135" t="s">
        <v>75</v>
      </c>
      <c r="S2" s="135" t="s">
        <v>76</v>
      </c>
      <c r="T2" s="135" t="s">
        <v>77</v>
      </c>
    </row>
    <row r="3" ht="22.5" customHeight="1">
      <c r="A3" s="298" t="s">
        <v>94</v>
      </c>
      <c r="B3" s="299" t="s">
        <v>95</v>
      </c>
      <c r="C3" s="300"/>
      <c r="D3" s="300"/>
      <c r="E3" s="300"/>
      <c r="F3" s="300"/>
      <c r="G3" s="300"/>
      <c r="H3" s="300"/>
      <c r="I3" s="300"/>
      <c r="J3" s="300"/>
      <c r="K3" s="300"/>
      <c r="L3" s="300"/>
      <c r="M3" s="300"/>
      <c r="N3" s="300"/>
      <c r="O3" s="300"/>
      <c r="P3" s="300"/>
      <c r="Q3" s="300"/>
      <c r="R3" s="300"/>
      <c r="S3" s="300"/>
      <c r="T3" s="300"/>
    </row>
    <row r="4" ht="22.5" customHeight="1">
      <c r="A4" s="301" t="s">
        <v>96</v>
      </c>
      <c r="B4" s="299" t="s">
        <v>677</v>
      </c>
      <c r="C4" s="299" t="s">
        <v>101</v>
      </c>
      <c r="D4" s="299" t="s">
        <v>691</v>
      </c>
      <c r="E4" s="299" t="s">
        <v>736</v>
      </c>
      <c r="F4" s="299" t="s">
        <v>736</v>
      </c>
      <c r="G4" s="299" t="s">
        <v>878</v>
      </c>
      <c r="H4" s="299"/>
      <c r="I4" s="299"/>
      <c r="J4" s="300"/>
      <c r="K4" s="300"/>
      <c r="L4" s="300"/>
      <c r="M4" s="300"/>
      <c r="N4" s="300"/>
      <c r="O4" s="300"/>
      <c r="P4" s="300"/>
      <c r="Q4" s="300"/>
      <c r="R4" s="300"/>
      <c r="S4" s="300"/>
      <c r="T4" s="300"/>
    </row>
    <row r="5" ht="22.5" customHeight="1">
      <c r="A5" s="302" t="s">
        <v>105</v>
      </c>
      <c r="B5" s="299" t="s">
        <v>107</v>
      </c>
      <c r="C5" s="299" t="s">
        <v>108</v>
      </c>
      <c r="D5" s="299"/>
      <c r="E5" s="300"/>
      <c r="F5" s="300"/>
      <c r="G5" s="300"/>
      <c r="H5" s="300"/>
      <c r="I5" s="300"/>
      <c r="J5" s="300"/>
      <c r="K5" s="300"/>
      <c r="L5" s="300"/>
      <c r="M5" s="300"/>
      <c r="N5" s="300"/>
      <c r="O5" s="300"/>
      <c r="P5" s="300"/>
      <c r="Q5" s="300"/>
      <c r="R5" s="300"/>
      <c r="S5" s="300"/>
      <c r="T5" s="300"/>
    </row>
    <row r="6" ht="22.5" customHeight="1">
      <c r="A6" s="303" t="s">
        <v>110</v>
      </c>
      <c r="B6" s="300"/>
      <c r="C6" s="300"/>
      <c r="D6" s="300"/>
      <c r="E6" s="300"/>
      <c r="F6" s="300"/>
      <c r="G6" s="300"/>
      <c r="H6" s="300"/>
      <c r="I6" s="300"/>
      <c r="J6" s="300"/>
      <c r="K6" s="300"/>
      <c r="L6" s="300"/>
      <c r="M6" s="300"/>
      <c r="N6" s="300"/>
      <c r="O6" s="300"/>
      <c r="P6" s="300"/>
      <c r="Q6" s="300"/>
      <c r="R6" s="300"/>
      <c r="S6" s="300"/>
      <c r="T6" s="300"/>
    </row>
    <row r="7" ht="22.5" customHeight="1">
      <c r="A7" s="303" t="s">
        <v>111</v>
      </c>
      <c r="B7" s="299" t="s">
        <v>113</v>
      </c>
      <c r="C7" s="299" t="s">
        <v>114</v>
      </c>
      <c r="D7" s="299" t="s">
        <v>114</v>
      </c>
      <c r="E7" s="299" t="s">
        <v>114</v>
      </c>
      <c r="F7" s="299" t="s">
        <v>114</v>
      </c>
      <c r="G7" s="299" t="s">
        <v>113</v>
      </c>
      <c r="H7" s="299" t="s">
        <v>113</v>
      </c>
      <c r="I7" s="299" t="s">
        <v>113</v>
      </c>
      <c r="J7" s="299"/>
      <c r="K7" s="300"/>
      <c r="L7" s="300"/>
      <c r="M7" s="300"/>
      <c r="N7" s="300"/>
      <c r="O7" s="300"/>
      <c r="P7" s="300"/>
      <c r="Q7" s="300"/>
      <c r="R7" s="300"/>
      <c r="S7" s="300"/>
      <c r="T7" s="300"/>
    </row>
    <row r="8" ht="22.5" customHeight="1">
      <c r="A8" s="304" t="s">
        <v>115</v>
      </c>
      <c r="B8" s="299" t="s">
        <v>120</v>
      </c>
      <c r="C8" s="299" t="s">
        <v>120</v>
      </c>
      <c r="D8" s="299" t="s">
        <v>120</v>
      </c>
      <c r="E8" s="299" t="s">
        <v>120</v>
      </c>
      <c r="F8" s="299" t="s">
        <v>120</v>
      </c>
      <c r="G8" s="299" t="s">
        <v>120</v>
      </c>
      <c r="H8" s="299" t="s">
        <v>121</v>
      </c>
      <c r="I8" s="299" t="s">
        <v>122</v>
      </c>
      <c r="J8" s="299" t="s">
        <v>894</v>
      </c>
      <c r="K8" s="299" t="s">
        <v>895</v>
      </c>
      <c r="L8" s="299"/>
      <c r="M8" s="299"/>
      <c r="N8" s="300"/>
      <c r="O8" s="300"/>
      <c r="P8" s="300"/>
      <c r="Q8" s="300"/>
      <c r="R8" s="300"/>
      <c r="S8" s="300"/>
      <c r="T8" s="300"/>
    </row>
    <row r="9" ht="22.5" customHeight="1">
      <c r="A9" s="305" t="s">
        <v>123</v>
      </c>
      <c r="B9" s="299" t="s">
        <v>125</v>
      </c>
      <c r="C9" s="299" t="s">
        <v>126</v>
      </c>
      <c r="D9" s="299" t="s">
        <v>127</v>
      </c>
      <c r="E9" s="299" t="s">
        <v>129</v>
      </c>
      <c r="F9" s="299" t="s">
        <v>130</v>
      </c>
      <c r="G9" s="299" t="s">
        <v>131</v>
      </c>
      <c r="H9" s="299" t="s">
        <v>131</v>
      </c>
      <c r="I9" s="299" t="s">
        <v>896</v>
      </c>
      <c r="J9" s="299"/>
      <c r="K9" s="300"/>
      <c r="L9" s="300"/>
      <c r="M9" s="300"/>
      <c r="N9" s="300"/>
      <c r="O9" s="300"/>
      <c r="P9" s="300"/>
      <c r="Q9" s="300"/>
      <c r="R9" s="300"/>
      <c r="S9" s="300"/>
      <c r="T9" s="300"/>
    </row>
    <row r="10" ht="22.5" customHeight="1">
      <c r="A10" s="303" t="s">
        <v>132</v>
      </c>
      <c r="B10" s="299" t="s">
        <v>133</v>
      </c>
      <c r="C10" s="299" t="s">
        <v>122</v>
      </c>
      <c r="D10" s="299" t="s">
        <v>135</v>
      </c>
      <c r="E10" s="299" t="s">
        <v>139</v>
      </c>
      <c r="F10" s="299" t="s">
        <v>897</v>
      </c>
      <c r="G10" s="299" t="s">
        <v>584</v>
      </c>
      <c r="H10" s="299" t="s">
        <v>759</v>
      </c>
      <c r="I10" s="299"/>
      <c r="J10" s="299"/>
      <c r="K10" s="300"/>
      <c r="L10" s="300"/>
      <c r="M10" s="300"/>
      <c r="N10" s="300"/>
      <c r="O10" s="300"/>
      <c r="P10" s="300"/>
      <c r="Q10" s="300"/>
      <c r="R10" s="300"/>
      <c r="S10" s="300"/>
      <c r="T10" s="300"/>
    </row>
    <row r="11" ht="22.5" customHeight="1">
      <c r="A11" s="306" t="s">
        <v>140</v>
      </c>
      <c r="B11" s="299" t="s">
        <v>898</v>
      </c>
      <c r="C11" s="299"/>
      <c r="D11" s="299"/>
      <c r="E11" s="300"/>
      <c r="F11" s="300"/>
      <c r="G11" s="300"/>
      <c r="H11" s="300"/>
      <c r="I11" s="300"/>
      <c r="J11" s="300"/>
      <c r="K11" s="300"/>
      <c r="L11" s="300"/>
      <c r="M11" s="300"/>
      <c r="N11" s="300"/>
      <c r="O11" s="300"/>
      <c r="P11" s="300"/>
      <c r="Q11" s="300"/>
      <c r="R11" s="300"/>
      <c r="S11" s="300"/>
      <c r="T11" s="300"/>
    </row>
    <row r="12" ht="22.5" customHeight="1">
      <c r="A12" s="307" t="s">
        <v>141</v>
      </c>
      <c r="B12" s="299" t="s">
        <v>142</v>
      </c>
      <c r="C12" s="299"/>
      <c r="D12" s="300"/>
      <c r="E12" s="300"/>
      <c r="F12" s="300"/>
      <c r="G12" s="300"/>
      <c r="H12" s="300"/>
      <c r="I12" s="300"/>
      <c r="J12" s="300"/>
      <c r="K12" s="300"/>
      <c r="L12" s="300"/>
      <c r="M12" s="300"/>
      <c r="N12" s="300"/>
      <c r="O12" s="300"/>
      <c r="P12" s="300"/>
      <c r="Q12" s="300"/>
      <c r="R12" s="300"/>
      <c r="S12" s="300"/>
      <c r="T12" s="300"/>
    </row>
    <row r="13" ht="22.5" customHeight="1">
      <c r="A13" s="302" t="s">
        <v>144</v>
      </c>
      <c r="B13" s="299" t="s">
        <v>121</v>
      </c>
      <c r="C13" s="299" t="s">
        <v>763</v>
      </c>
      <c r="D13" s="299" t="s">
        <v>147</v>
      </c>
      <c r="E13" s="299" t="s">
        <v>147</v>
      </c>
      <c r="F13" s="299" t="s">
        <v>139</v>
      </c>
      <c r="G13" s="299" t="s">
        <v>148</v>
      </c>
      <c r="H13" s="299"/>
      <c r="I13" s="299"/>
      <c r="J13" s="299"/>
      <c r="K13" s="299"/>
      <c r="L13" s="300"/>
      <c r="M13" s="300"/>
      <c r="N13" s="300"/>
      <c r="O13" s="300"/>
      <c r="P13" s="300"/>
      <c r="Q13" s="300"/>
      <c r="R13" s="300"/>
      <c r="S13" s="300"/>
      <c r="T13" s="300"/>
    </row>
    <row r="14" ht="22.5" customHeight="1">
      <c r="A14" s="301" t="s">
        <v>149</v>
      </c>
      <c r="B14" s="299" t="s">
        <v>150</v>
      </c>
      <c r="C14" s="299"/>
      <c r="D14" s="300"/>
      <c r="E14" s="300"/>
      <c r="F14" s="300"/>
      <c r="G14" s="300"/>
      <c r="H14" s="300"/>
      <c r="I14" s="300"/>
      <c r="J14" s="300"/>
      <c r="K14" s="300"/>
      <c r="L14" s="300"/>
      <c r="M14" s="300"/>
      <c r="N14" s="300"/>
      <c r="O14" s="300"/>
      <c r="P14" s="300"/>
      <c r="Q14" s="300"/>
      <c r="R14" s="300"/>
      <c r="S14" s="300"/>
      <c r="T14" s="300"/>
    </row>
    <row r="15" ht="22.5" customHeight="1">
      <c r="A15" s="302" t="s">
        <v>151</v>
      </c>
      <c r="B15" s="299" t="s">
        <v>153</v>
      </c>
      <c r="C15" s="299" t="s">
        <v>154</v>
      </c>
      <c r="D15" s="299" t="s">
        <v>154</v>
      </c>
      <c r="E15" s="299" t="s">
        <v>155</v>
      </c>
      <c r="F15" s="299" t="s">
        <v>156</v>
      </c>
      <c r="G15" s="299" t="s">
        <v>101</v>
      </c>
      <c r="H15" s="299" t="s">
        <v>157</v>
      </c>
      <c r="I15" s="299" t="s">
        <v>157</v>
      </c>
      <c r="J15" s="299"/>
      <c r="K15" s="299"/>
      <c r="L15" s="299"/>
      <c r="M15" s="300"/>
      <c r="N15" s="300"/>
      <c r="O15" s="300"/>
      <c r="P15" s="300"/>
      <c r="Q15" s="300"/>
      <c r="R15" s="300"/>
      <c r="S15" s="300"/>
      <c r="T15" s="300"/>
    </row>
    <row r="16" ht="22.5" customHeight="1">
      <c r="A16" s="303" t="s">
        <v>158</v>
      </c>
      <c r="B16" s="299" t="s">
        <v>160</v>
      </c>
      <c r="C16" s="299" t="s">
        <v>656</v>
      </c>
      <c r="D16" s="300"/>
      <c r="E16" s="300"/>
      <c r="F16" s="300"/>
      <c r="G16" s="300"/>
      <c r="H16" s="300"/>
      <c r="I16" s="300"/>
      <c r="J16" s="300"/>
      <c r="K16" s="300"/>
      <c r="L16" s="300"/>
      <c r="M16" s="300"/>
      <c r="N16" s="300"/>
      <c r="O16" s="300"/>
      <c r="P16" s="300"/>
      <c r="Q16" s="300"/>
      <c r="R16" s="300"/>
      <c r="S16" s="300"/>
      <c r="T16" s="300"/>
    </row>
    <row r="17" ht="22.5" customHeight="1">
      <c r="A17" s="308" t="s">
        <v>162</v>
      </c>
      <c r="B17" s="299" t="s">
        <v>163</v>
      </c>
      <c r="C17" s="299" t="s">
        <v>163</v>
      </c>
      <c r="D17" s="299" t="s">
        <v>166</v>
      </c>
      <c r="E17" s="299" t="s">
        <v>121</v>
      </c>
      <c r="F17" s="299" t="s">
        <v>131</v>
      </c>
      <c r="G17" s="299" t="s">
        <v>167</v>
      </c>
      <c r="H17" s="299" t="s">
        <v>599</v>
      </c>
      <c r="I17" s="299" t="s">
        <v>601</v>
      </c>
      <c r="J17" s="299" t="s">
        <v>599</v>
      </c>
      <c r="K17" s="299"/>
      <c r="L17" s="299"/>
      <c r="M17" s="300"/>
      <c r="N17" s="300"/>
      <c r="O17" s="300"/>
      <c r="P17" s="300"/>
      <c r="Q17" s="300"/>
      <c r="R17" s="300"/>
      <c r="S17" s="300"/>
      <c r="T17" s="300"/>
    </row>
    <row r="18" ht="22.5" customHeight="1">
      <c r="A18" s="301" t="s">
        <v>168</v>
      </c>
      <c r="B18" s="309" t="s">
        <v>169</v>
      </c>
      <c r="C18" s="146"/>
      <c r="D18" s="146"/>
      <c r="E18" s="146"/>
      <c r="F18" s="146"/>
      <c r="G18" s="146"/>
      <c r="H18" s="146"/>
      <c r="I18" s="146"/>
      <c r="J18" s="146"/>
      <c r="K18" s="146"/>
      <c r="L18" s="146"/>
      <c r="M18" s="146"/>
      <c r="N18" s="146"/>
      <c r="O18" s="146"/>
      <c r="P18" s="146"/>
      <c r="Q18" s="146"/>
      <c r="R18" s="146"/>
      <c r="S18" s="146"/>
      <c r="T18" s="146"/>
    </row>
    <row r="19" ht="22.5" customHeight="1">
      <c r="A19" s="302" t="s">
        <v>170</v>
      </c>
      <c r="B19" s="299" t="s">
        <v>173</v>
      </c>
      <c r="C19" s="299" t="s">
        <v>166</v>
      </c>
      <c r="D19" s="299" t="s">
        <v>175</v>
      </c>
      <c r="E19" s="299" t="s">
        <v>860</v>
      </c>
      <c r="F19" s="299"/>
      <c r="G19" s="299"/>
      <c r="H19" s="299"/>
      <c r="I19" s="300"/>
      <c r="J19" s="300"/>
      <c r="K19" s="300"/>
      <c r="L19" s="300"/>
      <c r="M19" s="300"/>
      <c r="N19" s="300"/>
      <c r="O19" s="300"/>
      <c r="P19" s="300"/>
      <c r="Q19" s="300"/>
      <c r="R19" s="300"/>
      <c r="S19" s="300"/>
      <c r="T19" s="300"/>
    </row>
    <row r="20" ht="22.5" customHeight="1">
      <c r="A20" s="310" t="s">
        <v>176</v>
      </c>
      <c r="B20" s="299" t="s">
        <v>137</v>
      </c>
      <c r="C20" s="299" t="s">
        <v>757</v>
      </c>
      <c r="D20" s="299" t="s">
        <v>148</v>
      </c>
      <c r="E20" s="299" t="s">
        <v>139</v>
      </c>
      <c r="F20" s="299" t="s">
        <v>601</v>
      </c>
      <c r="G20" s="300"/>
      <c r="H20" s="300"/>
      <c r="I20" s="300"/>
      <c r="J20" s="300"/>
      <c r="K20" s="300"/>
      <c r="L20" s="300"/>
      <c r="M20" s="300"/>
      <c r="N20" s="300"/>
      <c r="O20" s="300"/>
      <c r="P20" s="300"/>
      <c r="Q20" s="300"/>
      <c r="R20" s="300"/>
      <c r="S20" s="300"/>
      <c r="T20" s="300"/>
    </row>
    <row r="21" ht="22.5" customHeight="1">
      <c r="A21" s="306" t="s">
        <v>178</v>
      </c>
      <c r="B21" s="300"/>
      <c r="C21" s="300"/>
      <c r="D21" s="300"/>
      <c r="E21" s="300"/>
      <c r="F21" s="300"/>
      <c r="G21" s="300"/>
      <c r="H21" s="300"/>
      <c r="I21" s="300"/>
      <c r="J21" s="300"/>
      <c r="K21" s="300"/>
      <c r="L21" s="300"/>
      <c r="M21" s="300"/>
      <c r="N21" s="300"/>
      <c r="O21" s="300"/>
      <c r="P21" s="300"/>
      <c r="Q21" s="300"/>
      <c r="R21" s="300"/>
      <c r="S21" s="300"/>
      <c r="T21" s="300"/>
    </row>
    <row r="22" ht="22.5" customHeight="1">
      <c r="A22" s="311" t="s">
        <v>179</v>
      </c>
      <c r="B22" s="299" t="s">
        <v>180</v>
      </c>
      <c r="C22" s="299" t="s">
        <v>180</v>
      </c>
      <c r="D22" s="299" t="s">
        <v>180</v>
      </c>
      <c r="E22" s="299" t="s">
        <v>157</v>
      </c>
      <c r="F22" s="299" t="s">
        <v>894</v>
      </c>
      <c r="G22" s="299"/>
      <c r="H22" s="300"/>
      <c r="I22" s="300"/>
      <c r="J22" s="300"/>
      <c r="K22" s="300"/>
      <c r="L22" s="300"/>
      <c r="M22" s="300"/>
      <c r="N22" s="300"/>
      <c r="O22" s="300"/>
      <c r="P22" s="300"/>
      <c r="Q22" s="300"/>
      <c r="R22" s="300"/>
      <c r="S22" s="300"/>
      <c r="T22" s="300"/>
    </row>
    <row r="23" ht="22.5" customHeight="1">
      <c r="A23" s="301" t="s">
        <v>181</v>
      </c>
      <c r="B23" s="299" t="s">
        <v>182</v>
      </c>
      <c r="C23" s="299" t="s">
        <v>183</v>
      </c>
      <c r="D23" s="299" t="s">
        <v>183</v>
      </c>
      <c r="E23" s="299"/>
      <c r="F23" s="300"/>
      <c r="G23" s="300"/>
      <c r="H23" s="300"/>
      <c r="I23" s="300"/>
      <c r="J23" s="300"/>
      <c r="K23" s="300"/>
      <c r="L23" s="300"/>
      <c r="M23" s="300"/>
      <c r="N23" s="300"/>
      <c r="O23" s="300"/>
      <c r="P23" s="300"/>
      <c r="Q23" s="300"/>
      <c r="R23" s="300"/>
      <c r="S23" s="300"/>
      <c r="T23" s="300"/>
    </row>
    <row r="24" ht="22.5" customHeight="1">
      <c r="A24" s="306" t="s">
        <v>184</v>
      </c>
      <c r="B24" s="299" t="s">
        <v>185</v>
      </c>
      <c r="C24" s="299" t="s">
        <v>108</v>
      </c>
      <c r="D24" s="299" t="s">
        <v>186</v>
      </c>
      <c r="E24" s="299" t="s">
        <v>187</v>
      </c>
      <c r="F24" s="299" t="s">
        <v>188</v>
      </c>
      <c r="G24" s="299" t="s">
        <v>190</v>
      </c>
      <c r="H24" s="299" t="s">
        <v>725</v>
      </c>
      <c r="I24" s="299" t="s">
        <v>738</v>
      </c>
      <c r="J24" s="300"/>
      <c r="K24" s="300"/>
      <c r="L24" s="300"/>
      <c r="M24" s="300"/>
      <c r="N24" s="300"/>
      <c r="O24" s="300"/>
      <c r="P24" s="300"/>
      <c r="Q24" s="300"/>
      <c r="R24" s="300"/>
      <c r="S24" s="300"/>
      <c r="T24" s="300"/>
    </row>
    <row r="25" ht="22.5" customHeight="1">
      <c r="A25" s="312" t="s">
        <v>191</v>
      </c>
      <c r="B25" s="299" t="s">
        <v>169</v>
      </c>
      <c r="C25" s="299" t="s">
        <v>163</v>
      </c>
      <c r="D25" s="299" t="s">
        <v>196</v>
      </c>
      <c r="E25" s="299" t="s">
        <v>122</v>
      </c>
      <c r="F25" s="299" t="s">
        <v>899</v>
      </c>
      <c r="G25" s="299" t="s">
        <v>900</v>
      </c>
      <c r="H25" s="299" t="s">
        <v>901</v>
      </c>
      <c r="I25" s="299" t="s">
        <v>902</v>
      </c>
      <c r="J25" s="299" t="s">
        <v>903</v>
      </c>
      <c r="K25" s="299" t="s">
        <v>904</v>
      </c>
      <c r="L25" s="299" t="s">
        <v>905</v>
      </c>
      <c r="M25" s="299" t="s">
        <v>896</v>
      </c>
      <c r="N25" s="299" t="s">
        <v>896</v>
      </c>
      <c r="O25" s="299" t="s">
        <v>683</v>
      </c>
      <c r="P25" s="299"/>
      <c r="Q25" s="299"/>
      <c r="R25" s="299"/>
      <c r="S25" s="300"/>
      <c r="T25" s="300"/>
    </row>
    <row r="26" ht="22.5" customHeight="1">
      <c r="A26" s="311" t="s">
        <v>197</v>
      </c>
      <c r="B26" s="299" t="s">
        <v>198</v>
      </c>
      <c r="C26" s="299" t="s">
        <v>200</v>
      </c>
      <c r="D26" s="299" t="s">
        <v>693</v>
      </c>
      <c r="E26" s="299" t="s">
        <v>714</v>
      </c>
      <c r="F26" s="300"/>
      <c r="G26" s="300"/>
      <c r="H26" s="300"/>
      <c r="I26" s="300"/>
      <c r="J26" s="300"/>
      <c r="K26" s="300"/>
      <c r="L26" s="300"/>
      <c r="M26" s="300"/>
      <c r="N26" s="300"/>
      <c r="O26" s="300"/>
      <c r="P26" s="300"/>
      <c r="Q26" s="300"/>
      <c r="R26" s="300"/>
      <c r="S26" s="300"/>
      <c r="T26" s="300"/>
    </row>
    <row r="27" ht="22.5" customHeight="1">
      <c r="A27" s="313" t="s">
        <v>202</v>
      </c>
      <c r="B27" s="299" t="s">
        <v>148</v>
      </c>
      <c r="C27" s="299" t="s">
        <v>203</v>
      </c>
      <c r="D27" s="299" t="s">
        <v>204</v>
      </c>
      <c r="E27" s="299" t="s">
        <v>205</v>
      </c>
      <c r="F27" s="299" t="s">
        <v>122</v>
      </c>
      <c r="G27" s="300"/>
      <c r="H27" s="300"/>
      <c r="I27" s="300"/>
      <c r="J27" s="300"/>
      <c r="K27" s="300"/>
      <c r="L27" s="300"/>
      <c r="M27" s="300"/>
      <c r="N27" s="300"/>
      <c r="O27" s="300"/>
      <c r="P27" s="300"/>
      <c r="Q27" s="300"/>
      <c r="R27" s="300"/>
      <c r="S27" s="300"/>
      <c r="T27" s="300"/>
    </row>
    <row r="28" ht="22.5" customHeight="1">
      <c r="A28" s="313" t="s">
        <v>206</v>
      </c>
      <c r="B28" s="299" t="s">
        <v>845</v>
      </c>
      <c r="C28" s="299" t="s">
        <v>208</v>
      </c>
      <c r="D28" s="299" t="s">
        <v>845</v>
      </c>
      <c r="E28" s="299" t="s">
        <v>845</v>
      </c>
      <c r="F28" s="299" t="s">
        <v>845</v>
      </c>
      <c r="G28" s="299" t="s">
        <v>845</v>
      </c>
      <c r="H28" s="299" t="s">
        <v>845</v>
      </c>
      <c r="I28" s="299" t="s">
        <v>845</v>
      </c>
      <c r="J28" s="299" t="s">
        <v>845</v>
      </c>
      <c r="K28" s="299" t="s">
        <v>209</v>
      </c>
      <c r="L28" s="299"/>
      <c r="M28" s="299"/>
      <c r="N28" s="300"/>
      <c r="O28" s="300"/>
      <c r="P28" s="300"/>
      <c r="Q28" s="300"/>
      <c r="R28" s="300"/>
      <c r="S28" s="300"/>
      <c r="T28" s="300"/>
    </row>
    <row r="29" ht="22.5" customHeight="1">
      <c r="A29" s="313" t="s">
        <v>210</v>
      </c>
      <c r="B29" s="299" t="s">
        <v>211</v>
      </c>
      <c r="C29" s="299" t="s">
        <v>864</v>
      </c>
      <c r="D29" s="299"/>
      <c r="E29" s="299" t="s">
        <v>895</v>
      </c>
      <c r="F29" s="300"/>
      <c r="G29" s="300"/>
      <c r="H29" s="300"/>
      <c r="I29" s="300"/>
      <c r="J29" s="300"/>
      <c r="K29" s="300"/>
      <c r="L29" s="300"/>
      <c r="M29" s="300"/>
      <c r="N29" s="300"/>
      <c r="O29" s="300"/>
      <c r="P29" s="300"/>
      <c r="Q29" s="300"/>
      <c r="R29" s="300"/>
      <c r="S29" s="300"/>
      <c r="T29" s="300"/>
    </row>
    <row r="30" ht="22.5" customHeight="1">
      <c r="A30" s="314" t="s">
        <v>213</v>
      </c>
      <c r="B30" s="300"/>
      <c r="C30" s="300"/>
      <c r="D30" s="300"/>
      <c r="E30" s="300"/>
      <c r="F30" s="300"/>
      <c r="G30" s="300"/>
      <c r="H30" s="300"/>
      <c r="I30" s="300"/>
      <c r="J30" s="300"/>
      <c r="K30" s="300"/>
      <c r="L30" s="300"/>
      <c r="M30" s="300"/>
      <c r="N30" s="300"/>
      <c r="O30" s="300"/>
      <c r="P30" s="300"/>
      <c r="Q30" s="300"/>
      <c r="R30" s="300"/>
      <c r="S30" s="300"/>
      <c r="T30" s="300"/>
    </row>
    <row r="31" ht="22.5" customHeight="1">
      <c r="A31" s="315" t="s">
        <v>214</v>
      </c>
      <c r="B31" s="299" t="s">
        <v>163</v>
      </c>
      <c r="C31" s="299" t="s">
        <v>198</v>
      </c>
      <c r="D31" s="299" t="s">
        <v>216</v>
      </c>
      <c r="E31" s="299" t="s">
        <v>183</v>
      </c>
      <c r="F31" s="299" t="s">
        <v>182</v>
      </c>
      <c r="G31" s="299" t="s">
        <v>217</v>
      </c>
      <c r="H31" s="299" t="s">
        <v>218</v>
      </c>
      <c r="I31" s="299" t="s">
        <v>131</v>
      </c>
      <c r="J31" s="299" t="s">
        <v>695</v>
      </c>
      <c r="K31" s="299" t="s">
        <v>695</v>
      </c>
      <c r="L31" s="299" t="s">
        <v>695</v>
      </c>
      <c r="M31" s="299" t="s">
        <v>736</v>
      </c>
      <c r="N31" s="299"/>
      <c r="O31" s="299"/>
      <c r="P31" s="299"/>
      <c r="Q31" s="299"/>
      <c r="R31" s="299"/>
      <c r="S31" s="300"/>
      <c r="T31" s="300"/>
    </row>
    <row r="32" ht="22.5" customHeight="1">
      <c r="A32" s="314" t="s">
        <v>220</v>
      </c>
      <c r="B32" s="299" t="s">
        <v>221</v>
      </c>
      <c r="C32" s="299" t="s">
        <v>203</v>
      </c>
      <c r="D32" s="299" t="s">
        <v>222</v>
      </c>
      <c r="E32" s="299" t="s">
        <v>223</v>
      </c>
      <c r="F32" s="299" t="s">
        <v>153</v>
      </c>
      <c r="G32" s="300"/>
      <c r="H32" s="300"/>
      <c r="I32" s="300"/>
      <c r="J32" s="300"/>
      <c r="K32" s="300"/>
      <c r="L32" s="300"/>
      <c r="M32" s="300"/>
      <c r="N32" s="300"/>
      <c r="O32" s="300"/>
      <c r="P32" s="300"/>
      <c r="Q32" s="300"/>
      <c r="R32" s="300"/>
      <c r="S32" s="300"/>
      <c r="T32" s="300"/>
    </row>
    <row r="33" ht="22.5" customHeight="1">
      <c r="A33" s="313" t="s">
        <v>224</v>
      </c>
      <c r="B33" s="299" t="s">
        <v>166</v>
      </c>
      <c r="C33" s="299" t="s">
        <v>225</v>
      </c>
      <c r="D33" s="300"/>
      <c r="E33" s="300"/>
      <c r="F33" s="300"/>
      <c r="G33" s="300"/>
      <c r="H33" s="300"/>
      <c r="I33" s="300"/>
      <c r="J33" s="300"/>
      <c r="K33" s="300"/>
      <c r="L33" s="300"/>
      <c r="M33" s="300"/>
      <c r="N33" s="300"/>
      <c r="O33" s="300"/>
      <c r="P33" s="300"/>
      <c r="Q33" s="300"/>
      <c r="R33" s="300"/>
      <c r="S33" s="300"/>
      <c r="T33" s="300"/>
    </row>
    <row r="34" ht="22.5" customHeight="1">
      <c r="A34" s="313" t="s">
        <v>226</v>
      </c>
      <c r="B34" s="299" t="s">
        <v>227</v>
      </c>
      <c r="C34" s="299" t="s">
        <v>107</v>
      </c>
      <c r="D34" s="299" t="s">
        <v>901</v>
      </c>
      <c r="E34" s="299" t="s">
        <v>906</v>
      </c>
      <c r="F34" s="300" t="s">
        <v>898</v>
      </c>
      <c r="G34" s="299"/>
      <c r="H34" s="299"/>
      <c r="I34" s="299"/>
      <c r="J34" s="300"/>
      <c r="K34" s="300"/>
      <c r="L34" s="300"/>
      <c r="M34" s="300"/>
      <c r="N34" s="300"/>
      <c r="O34" s="300"/>
      <c r="P34" s="300"/>
      <c r="Q34" s="300"/>
      <c r="R34" s="300"/>
      <c r="S34" s="300"/>
      <c r="T34" s="300"/>
    </row>
    <row r="35" ht="22.5" customHeight="1">
      <c r="A35" s="315" t="s">
        <v>229</v>
      </c>
      <c r="B35" s="299" t="s">
        <v>907</v>
      </c>
      <c r="C35" s="299" t="s">
        <v>908</v>
      </c>
      <c r="D35" s="300"/>
      <c r="E35" s="300"/>
      <c r="F35" s="300"/>
      <c r="G35" s="300"/>
      <c r="H35" s="300"/>
      <c r="I35" s="300"/>
      <c r="J35" s="300"/>
      <c r="K35" s="300"/>
      <c r="L35" s="300"/>
      <c r="M35" s="300"/>
      <c r="N35" s="300"/>
      <c r="O35" s="300"/>
      <c r="P35" s="300"/>
      <c r="Q35" s="300"/>
      <c r="R35" s="300"/>
      <c r="S35" s="300"/>
      <c r="T35" s="300"/>
    </row>
    <row r="36" ht="22.5" customHeight="1">
      <c r="A36" s="316" t="s">
        <v>231</v>
      </c>
      <c r="B36" s="299" t="s">
        <v>217</v>
      </c>
      <c r="C36" s="299" t="s">
        <v>203</v>
      </c>
      <c r="D36" s="299" t="s">
        <v>577</v>
      </c>
      <c r="E36" s="299" t="s">
        <v>155</v>
      </c>
      <c r="F36" s="299" t="s">
        <v>695</v>
      </c>
      <c r="G36" s="300"/>
      <c r="H36" s="300"/>
      <c r="I36" s="300"/>
      <c r="J36" s="300"/>
      <c r="K36" s="300"/>
      <c r="L36" s="300"/>
      <c r="M36" s="300"/>
      <c r="N36" s="300"/>
      <c r="O36" s="300"/>
      <c r="P36" s="300"/>
      <c r="Q36" s="300"/>
      <c r="R36" s="300"/>
      <c r="S36" s="300"/>
      <c r="T36" s="300"/>
    </row>
  </sheetData>
  <dataValidations>
    <dataValidation type="list" allowBlank="1" sqref="B3:E36 G3:G36">
      <formula1>AllDrops</formula1>
    </dataValidation>
    <dataValidation type="list" allowBlank="1" sqref="F9 F15 F22 F28 H28:J28 F36">
      <formula1>AllDrops</formula1>
    </dataValidation>
    <dataValidation type="list" allowBlank="1" sqref="F3:F8 F10:F14 F16:F21 F23:F27 H3:T27 K28:T28 F29:F35 H29:T36">
      <formula1>AllDrops</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hidden="1" min="2" max="2" width="12.63"/>
    <col customWidth="1" min="8" max="10" width="25.13"/>
    <col customWidth="1" min="11" max="66" width="7.63"/>
  </cols>
  <sheetData>
    <row r="1">
      <c r="A1" s="317" t="s">
        <v>909</v>
      </c>
      <c r="C1" s="318" t="s">
        <v>910</v>
      </c>
      <c r="F1" s="319" t="s">
        <v>911</v>
      </c>
      <c r="K1" s="320" t="s">
        <v>912</v>
      </c>
      <c r="L1" s="321" t="s">
        <v>913</v>
      </c>
      <c r="P1" s="321" t="s">
        <v>914</v>
      </c>
      <c r="V1" s="321" t="s">
        <v>915</v>
      </c>
      <c r="AI1" s="321" t="s">
        <v>916</v>
      </c>
      <c r="AM1" s="321" t="s">
        <v>917</v>
      </c>
      <c r="AS1" s="321" t="s">
        <v>918</v>
      </c>
      <c r="BD1" s="321" t="s">
        <v>919</v>
      </c>
      <c r="BI1" s="321" t="s">
        <v>920</v>
      </c>
      <c r="BN1" s="317"/>
    </row>
    <row r="2">
      <c r="B2" s="318"/>
      <c r="K2" s="322" t="str">
        <f>IMAGE("https://oldschool.runescape.wiki/images/Clue_scroll_%28easy%29.png?e29cd",1)</f>
        <v/>
      </c>
      <c r="L2" s="322" t="str">
        <f>IMAGE("https://oldschool.runescape.wiki/images/thumb/Tempoross.png/1280px-Tempoross.png?12042",1)</f>
        <v/>
      </c>
      <c r="M2" s="323" t="str">
        <f>IMAGE("https://oldschool.runescape.wiki/images/thumb/Rift_guardian_%28follower%2C_fire%29.png/200px-Rift_guardian_%28follower%2C_fire%29.png?725c4",1)</f>
        <v/>
      </c>
      <c r="N2" s="323" t="str">
        <f>IMAGE("https://oldschool.runescape.wiki/images/thumb/Zalcano.png/200px-Zalcano.png?6244d",1)</f>
        <v/>
      </c>
      <c r="O2" s="323" t="str">
        <f>IMAGE("https://oldschool.runescape.wiki/images/Tome_of_fire.png?c9227",1)</f>
        <v/>
      </c>
      <c r="P2" s="322" t="str">
        <f>IMAGE("https://oldschool.runescape.wiki/images/thumb/Artio.png/170px-Artio.png?bfba7",1)</f>
        <v/>
      </c>
      <c r="Q2" s="323" t="str">
        <f>IMAGE("https://oldschool.runescape.wiki/images/thumb/Callisto.png/170px-Callisto.png?bfba7",1)</f>
        <v/>
      </c>
      <c r="R2" s="323" t="str">
        <f>IMAGE("https://oldschool.runescape.wiki/images/thumb/Calvar%27ion.png/125px-Calvar%27ion.png?6268f",1)</f>
        <v/>
      </c>
      <c r="S2" s="323" t="str">
        <f>IMAGE("https://oldschool.runescape.wiki/images/thumb/Vet%27ion.png/125px-Vet%27ion.png?8695f",1)</f>
        <v/>
      </c>
      <c r="T2" s="323" t="str">
        <f>IMAGE("https://oldschool.runescape.wiki/images/thumb/Spindel.png/200px-Spindel.png?2c818",1)</f>
        <v/>
      </c>
      <c r="U2" s="323" t="str">
        <f>IMAGE("https://oldschool.runescape.wiki/images/thumb/Venenatis.png/200px-Venenatis.png?13693",1)</f>
        <v/>
      </c>
      <c r="V2" s="322" t="str">
        <f>IMAGE("https://oldschool.runescape.wiki/images/thumb/Ahrim_the_Blighted.png/38px-Ahrim_the_Blighted.png?33092",1)</f>
        <v/>
      </c>
      <c r="W2" s="323" t="str">
        <f>IMAGE("https://oldschool.runescape.wiki/images/thumb/Doom_of_Mokhaiotl_%28Christmas%29.png/277px-Doom_of_Mokhaiotl_%28Christmas%29.png?c76cc",1)</f>
        <v/>
      </c>
      <c r="X2" s="323" t="str">
        <f t="shared" ref="X2:Y2" si="1">IMAGE("https://oldschool.runescape.wiki/images/thumb/Crystalline_Hunllef.png/280px-Crystalline_Hunllef.png?7737a",1)</f>
        <v/>
      </c>
      <c r="Y2" s="323" t="str">
        <f t="shared" si="1"/>
        <v/>
      </c>
      <c r="Z2" s="323" t="str">
        <f>IMAGE("https://oldschool.runescape.wiki/images/thumb/Lunar_Chest_%28closed%29.png/280px-Lunar_Chest_%28closed%29.png?19bbc",1)</f>
        <v/>
      </c>
      <c r="AA2" s="323" t="str">
        <f>IMAGE("https://oldschool.runescape.wiki/images/thumb/Phantom_Muspah_%28ranged%29.png/250px-Phantom_Muspah_%28ranged%29.png?9cf6a",1)</f>
        <v/>
      </c>
      <c r="AB2" s="323" t="str">
        <f>IMAGE("https://oldschool.runescape.wiki/images/thumb/Scurrius.png/250px-Scurrius.png?e66a5",1)</f>
        <v/>
      </c>
      <c r="AC2" s="323" t="str">
        <f>IMAGE("https://oldschool.runescape.wiki/images/thumb/Skotizo.png/250px-Skotizo.png?dc8b8",1)</f>
        <v/>
      </c>
      <c r="AD2" s="323" t="str">
        <f>IMAGE("https://oldschool.runescape.wiki/images/thumb/Vorkath_%28Christmas%29.png/280px-Vorkath_%28Christmas%29.png?e8bc2",1)</f>
        <v/>
      </c>
      <c r="AE2" s="323" t="str">
        <f>IMAGE("https://oldschool.runescape.wiki/images/thumb/Zulrah_%28serpentine%2C_Christmas%29.png/250px-Zulrah_%28serpentine%2C_Christmas%29.png?e8bc2",1)</f>
        <v/>
      </c>
      <c r="AF2" s="323" t="str">
        <f>IMAGE("https://oldschool.runescape.wiki/images/thumb/Mad_Angel.webp/300px-Mad_Angel.webp?c7990",1)</f>
        <v/>
      </c>
      <c r="AG2" s="323" t="str">
        <f>IMAGE("https://oldschool.runescape.wiki/images/thumb/Maggot_King.png/1280px-Maggot_King.png?a6790",1)</f>
        <v/>
      </c>
      <c r="AH2" s="323" t="str">
        <f>IMAGE("https://oldschool.runescape.wiki/images/thumb/Sol_Heredit.png/800px-Sol_Heredit.png?91250",1)</f>
        <v/>
      </c>
      <c r="AI2" s="322" t="str">
        <f>IMAGE("https://oldschool.runescape.wiki/images/thumb/Duke_Sucellus.png/280px-Duke_Sucellus.png?d588a",1)</f>
        <v/>
      </c>
      <c r="AJ2" s="323" t="str">
        <f>IMAGE("https://oldschool.runescape.wiki/images/thumb/The_Leviathan.png/280px-The_Leviathan.png?d588a",1)</f>
        <v/>
      </c>
      <c r="AK2" s="323" t="str">
        <f>IMAGE("https://oldschool.runescape.wiki/images/thumb/Vardorvis.png/200px-Vardorvis.png?48af8",1)</f>
        <v/>
      </c>
      <c r="AL2" s="323" t="str">
        <f>IMAGE("https://oldschool.runescape.wiki/images/thumb/The_Whisperer.png/120px-The_Whisperer.png?aedab",1)</f>
        <v/>
      </c>
      <c r="AM2" s="322" t="str">
        <f>IMAGE("https://oldschool.runescape.wiki/images/thumb/The_Hueycoatl.png/280px-The_Hueycoatl.png?7b216",1)</f>
        <v/>
      </c>
      <c r="AN2" s="323" t="str">
        <f t="shared" ref="AN2:AO2" si="2">IMAGE("https://oldschool.runescape.wiki/images/thumb/The_Nightmare_%28Christmas%29.png/250px-The_Nightmare_%28Christmas%29.png?92e21",1)</f>
        <v/>
      </c>
      <c r="AO2" s="323" t="str">
        <f t="shared" si="2"/>
        <v/>
      </c>
      <c r="AP2" s="323" t="str">
        <f>IMAGE("https://oldschool.runescape.wiki/images/thumb/Royal_Titans_concept_art.png/1024px-Royal_Titans_concept_art.png?31e1d",1)</f>
        <v/>
      </c>
      <c r="AQ2" s="323" t="str">
        <f>IMAGE("https://oldschool.runescape.wiki/images/thumb/Yama_%28Christmas%29.png/280px-Yama_%28Christmas%29.png?c9976",1)</f>
        <v/>
      </c>
      <c r="AR2" s="323" t="str">
        <f>IMAGE("https://oldschool.runescape.wiki/images/thumb/Corporeal_Beast.png/1024px-Corporeal_Beast.png?52ebb",1)</f>
        <v/>
      </c>
      <c r="AS2" s="322" t="str">
        <f>IMAGE("https://oldschool.runescape.wiki/images/thumb/Abyssal_Sire_%28phase_1%29.png/220px-Abyssal_Sire_%28phase_1%29.png?0db8f",1)</f>
        <v/>
      </c>
      <c r="AT2" s="323" t="str">
        <f>IMAGE("https://oldschool.runescape.wiki/images/thumb/Hydra.png/220px-Hydra.png?660ce",1)</f>
        <v/>
      </c>
      <c r="AU2" s="323" t="str">
        <f>IMAGE("https://oldschool.runescape.wiki/images/thumb/Araxxor.png/280px-Araxxor.png?35d2e",1)</f>
        <v/>
      </c>
      <c r="AV2" s="323" t="str">
        <f>IMAGE("https://oldschool.runescape.wiki/images/thumb/Cerberus_%28Christmas%29.png/280px-Cerberus_%28Christmas%29.png?e8bc2",1)</f>
        <v/>
      </c>
      <c r="AW2" s="323" t="str">
        <f>IMAGE("https://oldschool.runescape.wiki/images/thumb/Dagannoth_Prime.png/200px-Dagannoth_Prime.png?945b1",1)</f>
        <v/>
      </c>
      <c r="AX2" s="323" t="str">
        <f>IMAGE("https://oldschool.runescape.wiki/images/thumb/Dagannoth_Rex.png/230px-Dagannoth_Rex.png?a99a9",1)</f>
        <v/>
      </c>
      <c r="AY2" s="323" t="str">
        <f>IMAGE("https://oldschool.runescape.wiki/images/thumb/Dagannoth_Supreme.png/230px-Dagannoth_Supreme.png?81f00",1)</f>
        <v/>
      </c>
      <c r="AZ2" s="323" t="str">
        <f>IMAGE("https://oldschool.runescape.wiki/images/thumb/Shellbane_gryphon_%28Christmas%29.png/250px-Shellbane_gryphon_%28Christmas%29.png?59050",1)</f>
        <v/>
      </c>
      <c r="BA2" s="323" t="str">
        <f>IMAGE("https://oldschool.runescape.wiki/images/thumb/Dusk.png/250px-Dusk.png?2d6f0",1)</f>
        <v/>
      </c>
      <c r="BB2" s="323" t="str">
        <f>IMAGE("https://oldschool.runescape.wiki/images/thumb/Kraken_%28Christmas%29.png/290px-Kraken_%28Christmas%29.png?9c9b4",1)</f>
        <v/>
      </c>
      <c r="BC2" s="323" t="str">
        <f>IMAGE("https://oldschool.runescape.wiki/images/thumb/Thermonuclear_smoke_devil.png/260px-Thermonuclear_smoke_devil.png?de858",1)</f>
        <v/>
      </c>
      <c r="BD2" s="322" t="str">
        <f>IMAGE("https://oldschool.runescape.wiki/images/thumb/Commander_Zilyana.png/250px-Commander_Zilyana.png?c5eaa",1)</f>
        <v/>
      </c>
      <c r="BE2" s="323" t="str">
        <f>IMAGE("https://oldschool.runescape.wiki/images/thumb/General_Graardor.png/280px-General_Graardor.png?4dd90",1)</f>
        <v/>
      </c>
      <c r="BF2" s="323" t="str">
        <f>IMAGE("https://oldschool.runescape.wiki/images/thumb/K%27ril_Tsutsaroth.png/280px-K%27ril_Tsutsaroth.png?73bda",1)</f>
        <v/>
      </c>
      <c r="BG2" s="323" t="str">
        <f>IMAGE("https://oldschool.runescape.wiki/images/thumb/Kree%27arra.png/280px-Kree%27arra.png?ba75c",1)</f>
        <v/>
      </c>
      <c r="BH2" s="323" t="str">
        <f>IMAGE("https://oldschool.runescape.wiki/images/thumb/Nex.png/270px-Nex.png?2a1b3",1)</f>
        <v/>
      </c>
      <c r="BI2" s="322" t="str">
        <f t="shared" ref="BI2:BJ2" si="3">IMAGE("https://oldschool.runescape.wiki/images/Twisted_bow.png?08f42",1)</f>
        <v/>
      </c>
      <c r="BJ2" s="322" t="str">
        <f t="shared" si="3"/>
        <v/>
      </c>
      <c r="BK2" s="323" t="str">
        <f t="shared" ref="BK2:BL2" si="4">IMAGE("https://oldschool.runescape.wiki/images/Scythe_of_vitur.png?c943f",1)</f>
        <v/>
      </c>
      <c r="BL2" s="323" t="str">
        <f t="shared" si="4"/>
        <v/>
      </c>
      <c r="BM2" s="323" t="str">
        <f t="shared" ref="BM2:BN2" si="5">IMAGE("https://oldschool.runescape.wiki/images/Tumeken%27s_shadow.png?3169b",1)</f>
        <v/>
      </c>
      <c r="BN2" s="323" t="str">
        <f t="shared" si="5"/>
        <v/>
      </c>
    </row>
    <row r="3">
      <c r="A3" s="324" t="s">
        <v>909</v>
      </c>
      <c r="B3" s="325" t="s">
        <v>921</v>
      </c>
      <c r="C3" s="325" t="s">
        <v>922</v>
      </c>
      <c r="D3" s="325" t="s">
        <v>923</v>
      </c>
      <c r="E3" s="324" t="s">
        <v>924</v>
      </c>
      <c r="F3" s="325" t="s">
        <v>925</v>
      </c>
      <c r="G3" s="325" t="s">
        <v>926</v>
      </c>
      <c r="H3" s="325" t="s">
        <v>927</v>
      </c>
      <c r="I3" s="325" t="s">
        <v>928</v>
      </c>
      <c r="J3" s="325" t="s">
        <v>929</v>
      </c>
      <c r="K3" s="326" t="s">
        <v>930</v>
      </c>
      <c r="L3" s="325" t="s">
        <v>931</v>
      </c>
      <c r="M3" s="325" t="s">
        <v>932</v>
      </c>
      <c r="N3" s="326" t="s">
        <v>933</v>
      </c>
      <c r="O3" s="326" t="s">
        <v>47</v>
      </c>
      <c r="P3" s="327" t="s">
        <v>934</v>
      </c>
      <c r="Q3" s="327" t="s">
        <v>935</v>
      </c>
      <c r="R3" s="327" t="s">
        <v>936</v>
      </c>
      <c r="S3" s="327" t="s">
        <v>937</v>
      </c>
      <c r="T3" s="327" t="s">
        <v>938</v>
      </c>
      <c r="U3" s="327" t="s">
        <v>939</v>
      </c>
      <c r="V3" s="327" t="s">
        <v>940</v>
      </c>
      <c r="W3" s="327" t="s">
        <v>941</v>
      </c>
      <c r="X3" s="327" t="s">
        <v>942</v>
      </c>
      <c r="Y3" s="327" t="s">
        <v>943</v>
      </c>
      <c r="Z3" s="327" t="s">
        <v>944</v>
      </c>
      <c r="AA3" s="327" t="s">
        <v>945</v>
      </c>
      <c r="AB3" s="327" t="s">
        <v>946</v>
      </c>
      <c r="AC3" s="327" t="s">
        <v>947</v>
      </c>
      <c r="AD3" s="327" t="s">
        <v>948</v>
      </c>
      <c r="AE3" s="327" t="s">
        <v>949</v>
      </c>
      <c r="AF3" s="327" t="s">
        <v>950</v>
      </c>
      <c r="AG3" s="327" t="s">
        <v>951</v>
      </c>
      <c r="AH3" s="327" t="s">
        <v>952</v>
      </c>
      <c r="AI3" s="327" t="s">
        <v>953</v>
      </c>
      <c r="AJ3" s="327" t="s">
        <v>954</v>
      </c>
      <c r="AK3" s="327" t="s">
        <v>955</v>
      </c>
      <c r="AL3" s="327" t="s">
        <v>956</v>
      </c>
      <c r="AM3" s="327" t="s">
        <v>957</v>
      </c>
      <c r="AN3" s="327" t="s">
        <v>958</v>
      </c>
      <c r="AO3" s="327" t="s">
        <v>959</v>
      </c>
      <c r="AP3" s="327" t="s">
        <v>960</v>
      </c>
      <c r="AQ3" s="327" t="s">
        <v>961</v>
      </c>
      <c r="AR3" s="327" t="s">
        <v>962</v>
      </c>
      <c r="AS3" s="327" t="s">
        <v>963</v>
      </c>
      <c r="AT3" s="327" t="s">
        <v>964</v>
      </c>
      <c r="AU3" s="327" t="s">
        <v>965</v>
      </c>
      <c r="AV3" s="327" t="s">
        <v>966</v>
      </c>
      <c r="AW3" s="327" t="s">
        <v>967</v>
      </c>
      <c r="AX3" s="327" t="s">
        <v>968</v>
      </c>
      <c r="AY3" s="327" t="s">
        <v>969</v>
      </c>
      <c r="AZ3" s="327" t="s">
        <v>970</v>
      </c>
      <c r="BA3" s="327" t="s">
        <v>971</v>
      </c>
      <c r="BB3" s="327" t="s">
        <v>972</v>
      </c>
      <c r="BC3" s="327" t="s">
        <v>973</v>
      </c>
      <c r="BD3" s="327" t="s">
        <v>974</v>
      </c>
      <c r="BE3" s="327" t="s">
        <v>975</v>
      </c>
      <c r="BF3" s="327" t="s">
        <v>976</v>
      </c>
      <c r="BG3" s="327" t="s">
        <v>977</v>
      </c>
      <c r="BH3" s="327" t="s">
        <v>978</v>
      </c>
      <c r="BI3" s="327" t="s">
        <v>979</v>
      </c>
      <c r="BJ3" s="327" t="s">
        <v>980</v>
      </c>
      <c r="BK3" s="327" t="s">
        <v>981</v>
      </c>
      <c r="BL3" s="327" t="s">
        <v>982</v>
      </c>
      <c r="BM3" s="327" t="s">
        <v>983</v>
      </c>
      <c r="BN3" s="327" t="s">
        <v>984</v>
      </c>
    </row>
    <row r="4">
      <c r="A4" s="328" t="s">
        <v>94</v>
      </c>
      <c r="B4" s="329" t="s">
        <v>985</v>
      </c>
      <c r="C4" s="150" t="s">
        <v>106</v>
      </c>
      <c r="D4" s="330"/>
      <c r="E4" s="331">
        <v>2.02</v>
      </c>
      <c r="F4" s="332">
        <f t="shared" ref="F4:F37" si="6">COUNTIF(L4:BN4,"&gt;4")</f>
        <v>1</v>
      </c>
      <c r="G4" s="333">
        <f t="shared" ref="G4:G37" si="7">SUM(L4:BN4)</f>
        <v>61</v>
      </c>
      <c r="H4" s="334" t="str">
        <f>IFERROR(__xludf.DUMMYFUNCTION("IFERROR(INDEX(INDEX('Ultimate Breakdown'!BossLookup,0,1),MATCH(INDEX(QUERY(TRANSPOSE({Table2[[#HEADERS],[TEM]:[TOE]];L4:BN4}),""select Col1 where Col2 &gt; 0 order by Col2 desc limit 3"",0),1,1),INDEX('Ultimate Breakdown'!BossLookup,0,2),0)),"""")"),"Maggot King")</f>
        <v>Maggot King</v>
      </c>
      <c r="I4" s="334" t="str">
        <f>IFERROR(__xludf.DUMMYFUNCTION("IFERROR(INDEX(INDEX('Ultimate Breakdown'!BossLookup,0,1),MATCH(INDEX(QUERY(TRANSPOSE({$L$3:$BN$3;L4:BN4}),""select Col1 where Col2 &gt; 0 order by Col2 desc limit 3"",0),2,1),INDEX('Ultimate Breakdown'!BossLookup,0,2),0)),"""")"),"Mad Angel")</f>
        <v>Mad Angel</v>
      </c>
      <c r="J4" s="334" t="str">
        <f>IFERROR(__xludf.DUMMYFUNCTION("IFERROR(INDEX(INDEX('Ultimate Breakdown'!BossLookup,0,1),MATCH(INDEX(QUERY(TRANSPOSE({Table2[[#HEADERS],[TEM]:[TOE]];L4:BN4}),""select Col1 where Col2 &gt; 0 order by Col2 desc limit 3"",0),3,1),INDEX('Ultimate Breakdown'!BossLookup,0,2),0)),"""")"),"")</f>
        <v/>
      </c>
      <c r="K4" s="335"/>
      <c r="L4" s="336"/>
      <c r="M4" s="337"/>
      <c r="N4" s="338"/>
      <c r="O4" s="338"/>
      <c r="P4" s="336"/>
      <c r="Q4" s="338"/>
      <c r="R4" s="338"/>
      <c r="S4" s="338"/>
      <c r="T4" s="338"/>
      <c r="U4" s="338"/>
      <c r="V4" s="336"/>
      <c r="W4" s="338"/>
      <c r="X4" s="338"/>
      <c r="Y4" s="338"/>
      <c r="Z4" s="338"/>
      <c r="AA4" s="338"/>
      <c r="AB4" s="338"/>
      <c r="AC4" s="338"/>
      <c r="AD4" s="338"/>
      <c r="AE4" s="338"/>
      <c r="AF4" s="339">
        <v>1.0</v>
      </c>
      <c r="AG4" s="339">
        <v>60.0</v>
      </c>
      <c r="AH4" s="340"/>
      <c r="AI4" s="336"/>
      <c r="AJ4" s="338"/>
      <c r="AK4" s="338"/>
      <c r="AL4" s="338"/>
      <c r="AM4" s="336"/>
      <c r="AN4" s="338"/>
      <c r="AO4" s="338"/>
      <c r="AP4" s="338"/>
      <c r="AQ4" s="338"/>
      <c r="AR4" s="340"/>
      <c r="AS4" s="336"/>
      <c r="AT4" s="338"/>
      <c r="AU4" s="338"/>
      <c r="AV4" s="338"/>
      <c r="AW4" s="338"/>
      <c r="AX4" s="338"/>
      <c r="AY4" s="338"/>
      <c r="AZ4" s="338"/>
      <c r="BA4" s="338"/>
      <c r="BB4" s="341"/>
      <c r="BC4" s="341"/>
      <c r="BD4" s="336"/>
      <c r="BE4" s="338"/>
      <c r="BF4" s="338"/>
      <c r="BG4" s="338"/>
      <c r="BH4" s="338"/>
      <c r="BI4" s="336"/>
      <c r="BJ4" s="340"/>
      <c r="BK4" s="338"/>
      <c r="BL4" s="342"/>
      <c r="BM4" s="343"/>
      <c r="BN4" s="344"/>
    </row>
    <row r="5">
      <c r="A5" s="345" t="s">
        <v>96</v>
      </c>
      <c r="B5" s="329" t="s">
        <v>985</v>
      </c>
      <c r="C5" s="150" t="s">
        <v>106</v>
      </c>
      <c r="D5" s="330"/>
      <c r="E5" s="331">
        <v>14.7</v>
      </c>
      <c r="F5" s="332">
        <f t="shared" si="6"/>
        <v>5</v>
      </c>
      <c r="G5" s="333">
        <f t="shared" si="7"/>
        <v>620</v>
      </c>
      <c r="H5" s="334" t="str">
        <f>IFERROR(__xludf.DUMMYFUNCTION("IFERROR(INDEX(INDEX('Ultimate Breakdown'!BossLookup,0,1),MATCH(INDEX(QUERY(TRANSPOSE({Table2[[#HEADERS],[TEM]:[TOE]];L5:BN5}),""select Col1 where Col2 &gt; 0 order by Col2 desc limit 3"",0),1,1),INDEX('Ultimate Breakdown'!BossLookup,0,2),0)),"""")"),"Vardorvis")</f>
        <v>Vardorvis</v>
      </c>
      <c r="I5" s="334" t="str">
        <f>IFERROR(__xludf.DUMMYFUNCTION("IFERROR(INDEX(INDEX('Ultimate Breakdown'!BossLookup,0,1),MATCH(INDEX(QUERY(TRANSPOSE({$L$3:$BN$3;L5:BN5}),""select Col1 where Col2 &gt; 0 order by Col2 desc limit 3"",0),2,1),INDEX('Ultimate Breakdown'!BossLookup,0,2),0)),"""")"),"Calvari'ion")</f>
        <v>Calvari'ion</v>
      </c>
      <c r="J5" s="334" t="str">
        <f>IFERROR(__xludf.DUMMYFUNCTION("IFERROR(INDEX(INDEX('Ultimate Breakdown'!BossLookup,0,1),MATCH(INDEX(QUERY(TRANSPOSE({Table2[[#HEADERS],[TEM]:[TOE]];L5:BN5}),""select Col1 where Col2 &gt; 0 order by Col2 desc limit 3"",0),3,1),INDEX('Ultimate Breakdown'!BossLookup,0,2),0)),"""")"),"General Graardor")</f>
        <v>General Graardor</v>
      </c>
      <c r="K5" s="335"/>
      <c r="L5" s="336"/>
      <c r="M5" s="337"/>
      <c r="N5" s="338"/>
      <c r="O5" s="338"/>
      <c r="P5" s="336"/>
      <c r="Q5" s="338"/>
      <c r="R5" s="346">
        <v>90.0</v>
      </c>
      <c r="S5" s="338"/>
      <c r="T5" s="338"/>
      <c r="U5" s="338"/>
      <c r="V5" s="336"/>
      <c r="W5" s="338"/>
      <c r="X5" s="338"/>
      <c r="Y5" s="338"/>
      <c r="Z5" s="338"/>
      <c r="AA5" s="338"/>
      <c r="AB5" s="338"/>
      <c r="AC5" s="338"/>
      <c r="AD5" s="338"/>
      <c r="AE5" s="338"/>
      <c r="AF5" s="340"/>
      <c r="AG5" s="340"/>
      <c r="AH5" s="340"/>
      <c r="AI5" s="336"/>
      <c r="AJ5" s="338"/>
      <c r="AK5" s="346">
        <v>475.0</v>
      </c>
      <c r="AL5" s="338"/>
      <c r="AM5" s="336"/>
      <c r="AN5" s="338"/>
      <c r="AO5" s="338"/>
      <c r="AP5" s="346">
        <v>19.0</v>
      </c>
      <c r="AQ5" s="338"/>
      <c r="AR5" s="340"/>
      <c r="AS5" s="336"/>
      <c r="AT5" s="338"/>
      <c r="AU5" s="338"/>
      <c r="AV5" s="338"/>
      <c r="AW5" s="338"/>
      <c r="AX5" s="338"/>
      <c r="AY5" s="338"/>
      <c r="AZ5" s="338"/>
      <c r="BA5" s="338"/>
      <c r="BB5" s="347">
        <v>12.0</v>
      </c>
      <c r="BC5" s="341"/>
      <c r="BD5" s="336"/>
      <c r="BE5" s="346">
        <v>24.0</v>
      </c>
      <c r="BF5" s="338"/>
      <c r="BG5" s="338"/>
      <c r="BH5" s="338"/>
      <c r="BI5" s="336"/>
      <c r="BJ5" s="340"/>
      <c r="BK5" s="338"/>
      <c r="BL5" s="342"/>
      <c r="BM5" s="348"/>
      <c r="BN5" s="348"/>
    </row>
    <row r="6">
      <c r="A6" s="328" t="s">
        <v>105</v>
      </c>
      <c r="B6" s="329" t="s">
        <v>985</v>
      </c>
      <c r="C6" s="150" t="s">
        <v>106</v>
      </c>
      <c r="D6" s="330"/>
      <c r="E6" s="331">
        <v>8.86</v>
      </c>
      <c r="F6" s="332">
        <f t="shared" si="6"/>
        <v>8</v>
      </c>
      <c r="G6" s="333">
        <f t="shared" si="7"/>
        <v>193</v>
      </c>
      <c r="H6" s="334" t="str">
        <f>IFERROR(__xludf.DUMMYFUNCTION("IFERROR(INDEX(INDEX('Ultimate Breakdown'!BossLookup,0,1),MATCH(INDEX(QUERY(TRANSPOSE({Table2[[#HEADERS],[TEM]:[TOE]];L6:BN6}),""select Col1 where Col2 &gt; 0 order by Col2 desc limit 3"",0),1,1),INDEX('Ultimate Breakdown'!BossLookup,0,2),0)),"""")"),"Tempoross")</f>
        <v>Tempoross</v>
      </c>
      <c r="I6" s="334" t="str">
        <f>IFERROR(__xludf.DUMMYFUNCTION("IFERROR(INDEX(INDEX('Ultimate Breakdown'!BossLookup,0,1),MATCH(INDEX(QUERY(TRANSPOSE({$L$3:$BN$3;L6:BN6}),""select Col1 where Col2 &gt; 0 order by Col2 desc limit 3"",0),2,1),INDEX('Ultimate Breakdown'!BossLookup,0,2),0)),"""")"),"Guardians of the Rift")</f>
        <v>Guardians of the Rift</v>
      </c>
      <c r="J6" s="334" t="str">
        <f>IFERROR(__xludf.DUMMYFUNCTION("IFERROR(INDEX(INDEX('Ultimate Breakdown'!BossLookup,0,1),MATCH(INDEX(QUERY(TRANSPOSE({Table2[[#HEADERS],[TEM]:[TOE]];L6:BN6}),""select Col1 where Col2 &gt; 0 order by Col2 desc limit 3"",0),3,1),INDEX('Ultimate Breakdown'!BossLookup,0,2),0)),"""")"),"Hueycoatl")</f>
        <v>Hueycoatl</v>
      </c>
      <c r="K6" s="335">
        <v>33.0</v>
      </c>
      <c r="L6" s="349">
        <v>79.0</v>
      </c>
      <c r="M6" s="350">
        <v>38.0</v>
      </c>
      <c r="N6" s="346">
        <v>8.0</v>
      </c>
      <c r="O6" s="346">
        <v>10.0</v>
      </c>
      <c r="P6" s="336"/>
      <c r="Q6" s="338"/>
      <c r="R6" s="338"/>
      <c r="S6" s="338"/>
      <c r="T6" s="338"/>
      <c r="U6" s="338"/>
      <c r="V6" s="336"/>
      <c r="W6" s="338"/>
      <c r="X6" s="346">
        <v>5.0</v>
      </c>
      <c r="Y6" s="338"/>
      <c r="Z6" s="346">
        <v>5.0</v>
      </c>
      <c r="AA6" s="338"/>
      <c r="AB6" s="338"/>
      <c r="AC6" s="338"/>
      <c r="AD6" s="338"/>
      <c r="AE6" s="338"/>
      <c r="AF6" s="339">
        <v>1.0</v>
      </c>
      <c r="AG6" s="340"/>
      <c r="AH6" s="340"/>
      <c r="AI6" s="336"/>
      <c r="AJ6" s="338"/>
      <c r="AK6" s="338"/>
      <c r="AL6" s="338"/>
      <c r="AM6" s="349">
        <v>24.0</v>
      </c>
      <c r="AN6" s="338"/>
      <c r="AO6" s="338"/>
      <c r="AP6" s="338"/>
      <c r="AQ6" s="338"/>
      <c r="AR6" s="340"/>
      <c r="AS6" s="336"/>
      <c r="AT6" s="338"/>
      <c r="AU6" s="338"/>
      <c r="AV6" s="338"/>
      <c r="AW6" s="338"/>
      <c r="AX6" s="338"/>
      <c r="AY6" s="338"/>
      <c r="AZ6" s="338"/>
      <c r="BA6" s="338"/>
      <c r="BB6" s="341"/>
      <c r="BC6" s="341"/>
      <c r="BD6" s="336"/>
      <c r="BE6" s="338"/>
      <c r="BF6" s="338"/>
      <c r="BG6" s="338"/>
      <c r="BH6" s="338"/>
      <c r="BI6" s="336"/>
      <c r="BJ6" s="340"/>
      <c r="BK6" s="338"/>
      <c r="BL6" s="342"/>
      <c r="BM6" s="351">
        <v>19.0</v>
      </c>
      <c r="BN6" s="351">
        <v>4.0</v>
      </c>
    </row>
    <row r="7">
      <c r="A7" s="345" t="s">
        <v>110</v>
      </c>
      <c r="B7" s="329" t="s">
        <v>985</v>
      </c>
      <c r="C7" s="150" t="s">
        <v>106</v>
      </c>
      <c r="D7" s="330"/>
      <c r="E7" s="331">
        <v>3.27</v>
      </c>
      <c r="F7" s="332">
        <f t="shared" si="6"/>
        <v>1</v>
      </c>
      <c r="G7" s="333">
        <f t="shared" si="7"/>
        <v>66</v>
      </c>
      <c r="H7" s="334" t="str">
        <f>IFERROR(__xludf.DUMMYFUNCTION("IFERROR(INDEX(INDEX('Ultimate Breakdown'!BossLookup,0,1),MATCH(INDEX(QUERY(TRANSPOSE({Table2[[#HEADERS],[TEM]:[TOE]];L7:BN7}),""select Col1 where Col2 &gt; 0 order by Col2 desc limit 3"",0),1,1),INDEX('Ultimate Breakdown'!BossLookup,0,2),0)),"""")"),"Hueycoatl")</f>
        <v>Hueycoatl</v>
      </c>
      <c r="I7" s="334" t="str">
        <f>IFERROR(__xludf.DUMMYFUNCTION("IFERROR(INDEX(INDEX('Ultimate Breakdown'!BossLookup,0,1),MATCH(INDEX(QUERY(TRANSPOSE({$L$3:$BN$3;L7:BN7}),""select Col1 where Col2 &gt; 0 order by Col2 desc limit 3"",0),2,1),INDEX('Ultimate Breakdown'!BossLookup,0,2),0)),"""")"),"Mad Angel")</f>
        <v>Mad Angel</v>
      </c>
      <c r="J7" s="334" t="str">
        <f>IFERROR(__xludf.DUMMYFUNCTION("IFERROR(INDEX(INDEX('Ultimate Breakdown'!BossLookup,0,1),MATCH(INDEX(QUERY(TRANSPOSE({Table2[[#HEADERS],[TEM]:[TOE]];L7:BN7}),""select Col1 where Col2 &gt; 0 order by Col2 desc limit 3"",0),3,1),INDEX('Ultimate Breakdown'!BossLookup,0,2),0)),"""")"),"")</f>
        <v/>
      </c>
      <c r="K7" s="335">
        <v>18.0</v>
      </c>
      <c r="L7" s="336"/>
      <c r="M7" s="337"/>
      <c r="N7" s="338"/>
      <c r="O7" s="338"/>
      <c r="P7" s="336"/>
      <c r="Q7" s="338"/>
      <c r="R7" s="338"/>
      <c r="S7" s="338"/>
      <c r="T7" s="338"/>
      <c r="U7" s="338"/>
      <c r="V7" s="336"/>
      <c r="W7" s="338"/>
      <c r="X7" s="338"/>
      <c r="Y7" s="338"/>
      <c r="Z7" s="338"/>
      <c r="AA7" s="338"/>
      <c r="AB7" s="338"/>
      <c r="AC7" s="338"/>
      <c r="AD7" s="338"/>
      <c r="AE7" s="338"/>
      <c r="AF7" s="339">
        <v>1.0</v>
      </c>
      <c r="AG7" s="340"/>
      <c r="AH7" s="340"/>
      <c r="AI7" s="336"/>
      <c r="AJ7" s="338"/>
      <c r="AK7" s="338"/>
      <c r="AL7" s="338"/>
      <c r="AM7" s="349">
        <v>65.0</v>
      </c>
      <c r="AN7" s="338"/>
      <c r="AO7" s="338"/>
      <c r="AP7" s="338"/>
      <c r="AQ7" s="338"/>
      <c r="AR7" s="340"/>
      <c r="AS7" s="336"/>
      <c r="AT7" s="338"/>
      <c r="AU7" s="338"/>
      <c r="AV7" s="338"/>
      <c r="AW7" s="338"/>
      <c r="AX7" s="338"/>
      <c r="AY7" s="338"/>
      <c r="AZ7" s="338"/>
      <c r="BA7" s="338"/>
      <c r="BB7" s="341"/>
      <c r="BC7" s="341"/>
      <c r="BD7" s="336"/>
      <c r="BE7" s="338"/>
      <c r="BF7" s="338"/>
      <c r="BG7" s="338"/>
      <c r="BH7" s="338"/>
      <c r="BI7" s="336"/>
      <c r="BJ7" s="340"/>
      <c r="BK7" s="338"/>
      <c r="BL7" s="342"/>
      <c r="BM7" s="348"/>
      <c r="BN7" s="348"/>
    </row>
    <row r="8">
      <c r="A8" s="328" t="s">
        <v>111</v>
      </c>
      <c r="B8" s="329" t="s">
        <v>985</v>
      </c>
      <c r="C8" s="150" t="s">
        <v>106</v>
      </c>
      <c r="D8" s="330"/>
      <c r="E8" s="331">
        <v>9.0</v>
      </c>
      <c r="F8" s="332">
        <f t="shared" si="6"/>
        <v>5</v>
      </c>
      <c r="G8" s="333">
        <f t="shared" si="7"/>
        <v>513</v>
      </c>
      <c r="H8" s="334" t="str">
        <f>IFERROR(__xludf.DUMMYFUNCTION("IFERROR(INDEX(INDEX('Ultimate Breakdown'!BossLookup,0,1),MATCH(INDEX(QUERY(TRANSPOSE({Table2[[#HEADERS],[TEM]:[TOE]];L8:BN8}),""select Col1 where Col2 &gt; 0 order by Col2 desc limit 3"",0),1,1),INDEX('Ultimate Breakdown'!BossLookup,0,2),0)),"""")"),"Shellbane Gryphon")</f>
        <v>Shellbane Gryphon</v>
      </c>
      <c r="I8" s="334" t="str">
        <f>IFERROR(__xludf.DUMMYFUNCTION("IFERROR(INDEX(INDEX('Ultimate Breakdown'!BossLookup,0,1),MATCH(INDEX(QUERY(TRANSPOSE({$L$3:$BN$3;L8:BN8}),""select Col1 where Col2 &gt; 0 order by Col2 desc limit 3"",0),2,1),INDEX('Ultimate Breakdown'!BossLookup,0,2),0)),"""")"),"Scurrius")</f>
        <v>Scurrius</v>
      </c>
      <c r="J8" s="334" t="str">
        <f>IFERROR(__xludf.DUMMYFUNCTION("IFERROR(INDEX(INDEX('Ultimate Breakdown'!BossLookup,0,1),MATCH(INDEX(QUERY(TRANSPOSE({Table2[[#HEADERS],[TEM]:[TOE]];L8:BN8}),""select Col1 where Col2 &gt; 0 order by Col2 desc limit 3"",0),3,1),INDEX('Ultimate Breakdown'!BossLookup,0,2),0)),"""")"),"Mad Angel")</f>
        <v>Mad Angel</v>
      </c>
      <c r="K8" s="335"/>
      <c r="L8" s="336"/>
      <c r="M8" s="350">
        <v>27.0</v>
      </c>
      <c r="N8" s="338"/>
      <c r="O8" s="338"/>
      <c r="P8" s="336"/>
      <c r="Q8" s="338"/>
      <c r="R8" s="338"/>
      <c r="S8" s="338"/>
      <c r="T8" s="338"/>
      <c r="U8" s="338"/>
      <c r="V8" s="336"/>
      <c r="W8" s="338"/>
      <c r="X8" s="338"/>
      <c r="Y8" s="338"/>
      <c r="Z8" s="338"/>
      <c r="AA8" s="338"/>
      <c r="AB8" s="346">
        <v>140.0</v>
      </c>
      <c r="AC8" s="338"/>
      <c r="AD8" s="338"/>
      <c r="AE8" s="338"/>
      <c r="AF8" s="339">
        <v>91.0</v>
      </c>
      <c r="AG8" s="340"/>
      <c r="AH8" s="340"/>
      <c r="AI8" s="336"/>
      <c r="AJ8" s="338"/>
      <c r="AK8" s="338"/>
      <c r="AL8" s="338"/>
      <c r="AM8" s="349">
        <v>71.0</v>
      </c>
      <c r="AN8" s="338"/>
      <c r="AO8" s="338"/>
      <c r="AP8" s="338"/>
      <c r="AQ8" s="338"/>
      <c r="AR8" s="340"/>
      <c r="AS8" s="336"/>
      <c r="AT8" s="338"/>
      <c r="AU8" s="338"/>
      <c r="AV8" s="338"/>
      <c r="AW8" s="338"/>
      <c r="AX8" s="338"/>
      <c r="AY8" s="338"/>
      <c r="AZ8" s="346">
        <v>184.0</v>
      </c>
      <c r="BA8" s="338"/>
      <c r="BB8" s="341"/>
      <c r="BC8" s="341"/>
      <c r="BD8" s="336"/>
      <c r="BE8" s="338"/>
      <c r="BF8" s="338"/>
      <c r="BG8" s="338"/>
      <c r="BH8" s="338"/>
      <c r="BI8" s="336"/>
      <c r="BJ8" s="340"/>
      <c r="BK8" s="338"/>
      <c r="BL8" s="342"/>
      <c r="BM8" s="348"/>
      <c r="BN8" s="348"/>
    </row>
    <row r="9">
      <c r="A9" s="345" t="s">
        <v>115</v>
      </c>
      <c r="B9" s="329" t="s">
        <v>985</v>
      </c>
      <c r="C9" s="150" t="s">
        <v>106</v>
      </c>
      <c r="D9" s="330"/>
      <c r="E9" s="331">
        <v>17.52</v>
      </c>
      <c r="F9" s="332">
        <f t="shared" si="6"/>
        <v>5</v>
      </c>
      <c r="G9" s="333">
        <f t="shared" si="7"/>
        <v>815</v>
      </c>
      <c r="H9" s="334" t="str">
        <f>IFERROR(__xludf.DUMMYFUNCTION("IFERROR(INDEX(INDEX('Ultimate Breakdown'!BossLookup,0,1),MATCH(INDEX(QUERY(TRANSPOSE({Table2[[#HEADERS],[TEM]:[TOE]];L9:BN9}),""select Col1 where Col2 &gt; 0 order by Col2 desc limit 3"",0),1,1),INDEX('Ultimate Breakdown'!BossLookup,0,2),0)),"""")"),"Mad Angel")</f>
        <v>Mad Angel</v>
      </c>
      <c r="I9" s="334" t="str">
        <f>IFERROR(__xludf.DUMMYFUNCTION("IFERROR(INDEX(INDEX('Ultimate Breakdown'!BossLookup,0,1),MATCH(INDEX(QUERY(TRANSPOSE({$L$3:$BN$3;L9:BN9}),""select Col1 where Col2 &gt; 0 order by Col2 desc limit 3"",0),2,1),INDEX('Ultimate Breakdown'!BossLookup,0,2),0)),"""")"),"Royal Titans")</f>
        <v>Royal Titans</v>
      </c>
      <c r="J9" s="334" t="str">
        <f>IFERROR(__xludf.DUMMYFUNCTION("IFERROR(INDEX(INDEX('Ultimate Breakdown'!BossLookup,0,1),MATCH(INDEX(QUERY(TRANSPOSE({Table2[[#HEADERS],[TEM]:[TOE]];L9:BN9}),""select Col1 where Col2 &gt; 0 order by Col2 desc limit 3"",0),3,1),INDEX('Ultimate Breakdown'!BossLookup,0,2),0)),"""")"),"Hueycoatl")</f>
        <v>Hueycoatl</v>
      </c>
      <c r="K9" s="335">
        <v>2.0</v>
      </c>
      <c r="L9" s="336"/>
      <c r="M9" s="350">
        <v>19.0</v>
      </c>
      <c r="N9" s="338"/>
      <c r="O9" s="338"/>
      <c r="P9" s="336"/>
      <c r="Q9" s="338"/>
      <c r="R9" s="338"/>
      <c r="S9" s="338"/>
      <c r="T9" s="338"/>
      <c r="U9" s="338"/>
      <c r="V9" s="336"/>
      <c r="W9" s="338"/>
      <c r="X9" s="338"/>
      <c r="Y9" s="338"/>
      <c r="Z9" s="346">
        <v>30.0</v>
      </c>
      <c r="AA9" s="338"/>
      <c r="AB9" s="338"/>
      <c r="AC9" s="338"/>
      <c r="AD9" s="338"/>
      <c r="AE9" s="338"/>
      <c r="AF9" s="339">
        <v>453.0</v>
      </c>
      <c r="AG9" s="340"/>
      <c r="AH9" s="340"/>
      <c r="AI9" s="336"/>
      <c r="AJ9" s="338"/>
      <c r="AK9" s="338"/>
      <c r="AL9" s="338"/>
      <c r="AM9" s="349">
        <v>81.0</v>
      </c>
      <c r="AN9" s="338"/>
      <c r="AO9" s="338"/>
      <c r="AP9" s="346">
        <v>232.0</v>
      </c>
      <c r="AQ9" s="338"/>
      <c r="AR9" s="340"/>
      <c r="AS9" s="336"/>
      <c r="AT9" s="338"/>
      <c r="AU9" s="338"/>
      <c r="AV9" s="338"/>
      <c r="AW9" s="338"/>
      <c r="AX9" s="338"/>
      <c r="AY9" s="338"/>
      <c r="AZ9" s="338"/>
      <c r="BA9" s="338"/>
      <c r="BB9" s="341"/>
      <c r="BC9" s="341"/>
      <c r="BD9" s="336"/>
      <c r="BE9" s="338"/>
      <c r="BF9" s="338"/>
      <c r="BG9" s="338"/>
      <c r="BH9" s="338"/>
      <c r="BI9" s="336"/>
      <c r="BJ9" s="340"/>
      <c r="BK9" s="338"/>
      <c r="BL9" s="342"/>
      <c r="BM9" s="348"/>
      <c r="BN9" s="348"/>
    </row>
    <row r="10">
      <c r="A10" s="328" t="s">
        <v>123</v>
      </c>
      <c r="B10" s="329" t="s">
        <v>985</v>
      </c>
      <c r="C10" s="150" t="s">
        <v>106</v>
      </c>
      <c r="D10" s="330"/>
      <c r="E10" s="331">
        <v>16.3</v>
      </c>
      <c r="F10" s="332">
        <f t="shared" si="6"/>
        <v>14</v>
      </c>
      <c r="G10" s="333">
        <f t="shared" si="7"/>
        <v>335</v>
      </c>
      <c r="H10" s="334" t="str">
        <f>IFERROR(__xludf.DUMMYFUNCTION("IFERROR(INDEX(INDEX('Ultimate Breakdown'!BossLookup,0,1),MATCH(INDEX(QUERY(TRANSPOSE({Table2[[#HEADERS],[TEM]:[TOE]];L10:BN10}),""select Col1 where Col2 &gt; 0 order by Col2 desc limit 3"",0),1,1),INDEX('Ultimate Breakdown'!BossLookup,0,2),0)),"""")"),"Grotesque Guardians")</f>
        <v>Grotesque Guardians</v>
      </c>
      <c r="I10" s="334" t="str">
        <f>IFERROR(__xludf.DUMMYFUNCTION("IFERROR(INDEX(INDEX('Ultimate Breakdown'!BossLookup,0,1),MATCH(INDEX(QUERY(TRANSPOSE({$L$3:$BN$3;L10:BN10}),""select Col1 where Col2 &gt; 0 order by Col2 desc limit 3"",0),2,1),INDEX('Ultimate Breakdown'!BossLookup,0,2),0)),"""")"),"Mad Angel")</f>
        <v>Mad Angel</v>
      </c>
      <c r="J10" s="334" t="str">
        <f>IFERROR(__xludf.DUMMYFUNCTION("IFERROR(INDEX(INDEX('Ultimate Breakdown'!BossLookup,0,1),MATCH(INDEX(QUERY(TRANSPOSE({Table2[[#HEADERS],[TEM]:[TOE]];L10:BN10}),""select Col1 where Col2 &gt; 0 order by Col2 desc limit 3"",0),3,1),INDEX('Ultimate Breakdown'!BossLookup,0,2),0)),"""")"),"Scurrius")</f>
        <v>Scurrius</v>
      </c>
      <c r="K10" s="335">
        <v>23.0</v>
      </c>
      <c r="L10" s="336"/>
      <c r="M10" s="337"/>
      <c r="N10" s="346">
        <v>24.0</v>
      </c>
      <c r="O10" s="338"/>
      <c r="P10" s="336"/>
      <c r="Q10" s="338"/>
      <c r="R10" s="338"/>
      <c r="S10" s="338"/>
      <c r="T10" s="346">
        <v>27.0</v>
      </c>
      <c r="U10" s="338"/>
      <c r="V10" s="349">
        <v>33.0</v>
      </c>
      <c r="W10" s="338"/>
      <c r="X10" s="346">
        <v>18.0</v>
      </c>
      <c r="Y10" s="346">
        <v>12.0</v>
      </c>
      <c r="Z10" s="346">
        <v>17.0</v>
      </c>
      <c r="AA10" s="346">
        <v>7.0</v>
      </c>
      <c r="AB10" s="346">
        <v>37.0</v>
      </c>
      <c r="AC10" s="346">
        <v>5.0</v>
      </c>
      <c r="AD10" s="338"/>
      <c r="AE10" s="338"/>
      <c r="AF10" s="339">
        <v>41.0</v>
      </c>
      <c r="AG10" s="340"/>
      <c r="AH10" s="340"/>
      <c r="AI10" s="336"/>
      <c r="AJ10" s="338"/>
      <c r="AK10" s="338"/>
      <c r="AL10" s="338"/>
      <c r="AM10" s="349">
        <v>29.0</v>
      </c>
      <c r="AN10" s="338"/>
      <c r="AO10" s="338"/>
      <c r="AP10" s="338"/>
      <c r="AQ10" s="338"/>
      <c r="AR10" s="340"/>
      <c r="AS10" s="349">
        <v>7.0</v>
      </c>
      <c r="AT10" s="338"/>
      <c r="AU10" s="338"/>
      <c r="AV10" s="338"/>
      <c r="AW10" s="338"/>
      <c r="AX10" s="346">
        <v>1.0</v>
      </c>
      <c r="AY10" s="338"/>
      <c r="AZ10" s="346">
        <v>2.0</v>
      </c>
      <c r="BA10" s="346">
        <v>66.0</v>
      </c>
      <c r="BB10" s="341"/>
      <c r="BC10" s="341"/>
      <c r="BD10" s="336"/>
      <c r="BE10" s="346">
        <v>2.0</v>
      </c>
      <c r="BF10" s="338"/>
      <c r="BG10" s="338"/>
      <c r="BH10" s="338"/>
      <c r="BI10" s="336"/>
      <c r="BJ10" s="340"/>
      <c r="BK10" s="338"/>
      <c r="BL10" s="342"/>
      <c r="BM10" s="351">
        <v>7.0</v>
      </c>
      <c r="BN10" s="348"/>
    </row>
    <row r="11">
      <c r="A11" s="345" t="s">
        <v>132</v>
      </c>
      <c r="B11" s="329" t="s">
        <v>985</v>
      </c>
      <c r="C11" s="150" t="s">
        <v>106</v>
      </c>
      <c r="D11" s="330"/>
      <c r="E11" s="331">
        <v>14.75</v>
      </c>
      <c r="F11" s="332">
        <f t="shared" si="6"/>
        <v>9</v>
      </c>
      <c r="G11" s="333">
        <f t="shared" si="7"/>
        <v>546</v>
      </c>
      <c r="H11" s="334" t="str">
        <f>IFERROR(__xludf.DUMMYFUNCTION("IFERROR(INDEX(INDEX('Ultimate Breakdown'!BossLookup,0,1),MATCH(INDEX(QUERY(TRANSPOSE({Table2[[#HEADERS],[TEM]:[TOE]];L11:BN11}),""select Col1 where Col2 &gt; 0 order by Col2 desc limit 3"",0),1,1),INDEX('Ultimate Breakdown'!BossLookup,0,2),0)),"""")"),"Cerberus")</f>
        <v>Cerberus</v>
      </c>
      <c r="I11" s="334" t="str">
        <f>IFERROR(__xludf.DUMMYFUNCTION("IFERROR(INDEX(INDEX('Ultimate Breakdown'!BossLookup,0,1),MATCH(INDEX(QUERY(TRANSPOSE({$L$3:$BN$3;L11:BN11}),""select Col1 where Col2 &gt; 0 order by Col2 desc limit 3"",0),2,1),INDEX('Ultimate Breakdown'!BossLookup,0,2),0)),"""")"),"Abyssal Sire")</f>
        <v>Abyssal Sire</v>
      </c>
      <c r="J11" s="334" t="str">
        <f>IFERROR(__xludf.DUMMYFUNCTION("IFERROR(INDEX(INDEX('Ultimate Breakdown'!BossLookup,0,1),MATCH(INDEX(QUERY(TRANSPOSE({Table2[[#HEADERS],[TEM]:[TOE]];L11:BN11}),""select Col1 where Col2 &gt; 0 order by Col2 desc limit 3"",0),3,1),INDEX('Ultimate Breakdown'!BossLookup,0,2),0)),"""")"),"Shellbane Gryphon")</f>
        <v>Shellbane Gryphon</v>
      </c>
      <c r="K11" s="335"/>
      <c r="L11" s="336"/>
      <c r="M11" s="337"/>
      <c r="N11" s="338"/>
      <c r="O11" s="338"/>
      <c r="P11" s="336"/>
      <c r="Q11" s="338"/>
      <c r="R11" s="338"/>
      <c r="S11" s="338"/>
      <c r="T11" s="338"/>
      <c r="U11" s="338"/>
      <c r="V11" s="336"/>
      <c r="W11" s="338"/>
      <c r="X11" s="338"/>
      <c r="Y11" s="346">
        <v>35.0</v>
      </c>
      <c r="Z11" s="346">
        <v>4.0</v>
      </c>
      <c r="AA11" s="338"/>
      <c r="AB11" s="346">
        <v>23.0</v>
      </c>
      <c r="AC11" s="338"/>
      <c r="AD11" s="346">
        <v>18.0</v>
      </c>
      <c r="AE11" s="338"/>
      <c r="AF11" s="339">
        <v>1.0</v>
      </c>
      <c r="AG11" s="340"/>
      <c r="AH11" s="340"/>
      <c r="AI11" s="349">
        <v>20.0</v>
      </c>
      <c r="AJ11" s="338"/>
      <c r="AK11" s="338"/>
      <c r="AL11" s="338"/>
      <c r="AM11" s="349">
        <v>21.0</v>
      </c>
      <c r="AN11" s="338"/>
      <c r="AO11" s="338"/>
      <c r="AP11" s="346">
        <v>22.0</v>
      </c>
      <c r="AQ11" s="338"/>
      <c r="AR11" s="340"/>
      <c r="AS11" s="349">
        <v>129.0</v>
      </c>
      <c r="AT11" s="338"/>
      <c r="AU11" s="338"/>
      <c r="AV11" s="346">
        <v>160.0</v>
      </c>
      <c r="AW11" s="338"/>
      <c r="AX11" s="338"/>
      <c r="AY11" s="338"/>
      <c r="AZ11" s="346">
        <v>113.0</v>
      </c>
      <c r="BA11" s="338"/>
      <c r="BB11" s="341"/>
      <c r="BC11" s="341"/>
      <c r="BD11" s="336"/>
      <c r="BE11" s="338"/>
      <c r="BF11" s="338"/>
      <c r="BG11" s="338"/>
      <c r="BH11" s="338"/>
      <c r="BI11" s="336"/>
      <c r="BJ11" s="340"/>
      <c r="BK11" s="338"/>
      <c r="BL11" s="342"/>
      <c r="BM11" s="348"/>
      <c r="BN11" s="348"/>
    </row>
    <row r="12">
      <c r="A12" s="328" t="s">
        <v>140</v>
      </c>
      <c r="B12" s="329" t="s">
        <v>985</v>
      </c>
      <c r="C12" s="150" t="s">
        <v>106</v>
      </c>
      <c r="D12" s="330"/>
      <c r="E12" s="331">
        <v>2.95</v>
      </c>
      <c r="F12" s="332">
        <f t="shared" si="6"/>
        <v>3</v>
      </c>
      <c r="G12" s="333">
        <f t="shared" si="7"/>
        <v>155</v>
      </c>
      <c r="H12" s="334" t="str">
        <f>IFERROR(__xludf.DUMMYFUNCTION("IFERROR(INDEX(INDEX('Ultimate Breakdown'!BossLookup,0,1),MATCH(INDEX(QUERY(TRANSPOSE({Table2[[#HEADERS],[TEM]:[TOE]];L12:BN12}),""select Col1 where Col2 &gt; 0 order by Col2 desc limit 3"",0),1,1),INDEX('Ultimate Breakdown'!BossLookup,0,2),0)),"""")"),"Scurrius")</f>
        <v>Scurrius</v>
      </c>
      <c r="I12" s="334" t="str">
        <f>IFERROR(__xludf.DUMMYFUNCTION("IFERROR(INDEX(INDEX('Ultimate Breakdown'!BossLookup,0,1),MATCH(INDEX(QUERY(TRANSPOSE({$L$3:$BN$3;L12:BN12}),""select Col1 where Col2 &gt; 0 order by Col2 desc limit 3"",0),2,1),INDEX('Ultimate Breakdown'!BossLookup,0,2),0)),"""")"),"Mad Angel")</f>
        <v>Mad Angel</v>
      </c>
      <c r="J12" s="334" t="str">
        <f>IFERROR(__xludf.DUMMYFUNCTION("IFERROR(INDEX(INDEX('Ultimate Breakdown'!BossLookup,0,1),MATCH(INDEX(QUERY(TRANSPOSE({Table2[[#HEADERS],[TEM]:[TOE]];L12:BN12}),""select Col1 where Col2 &gt; 0 order by Col2 desc limit 3"",0),3,1),INDEX('Ultimate Breakdown'!BossLookup,0,2),0)),"""")"),"Moons of Peril")</f>
        <v>Moons of Peril</v>
      </c>
      <c r="K12" s="335"/>
      <c r="L12" s="336"/>
      <c r="M12" s="337"/>
      <c r="N12" s="338"/>
      <c r="O12" s="338"/>
      <c r="P12" s="336"/>
      <c r="Q12" s="338"/>
      <c r="R12" s="338"/>
      <c r="S12" s="338"/>
      <c r="T12" s="338"/>
      <c r="U12" s="338"/>
      <c r="V12" s="336"/>
      <c r="W12" s="338"/>
      <c r="X12" s="338"/>
      <c r="Y12" s="338"/>
      <c r="Z12" s="346">
        <v>15.0</v>
      </c>
      <c r="AA12" s="338"/>
      <c r="AB12" s="346">
        <v>90.0</v>
      </c>
      <c r="AC12" s="338"/>
      <c r="AD12" s="338"/>
      <c r="AE12" s="338"/>
      <c r="AF12" s="339">
        <v>50.0</v>
      </c>
      <c r="AG12" s="340"/>
      <c r="AH12" s="340"/>
      <c r="AI12" s="336"/>
      <c r="AJ12" s="338"/>
      <c r="AK12" s="338"/>
      <c r="AL12" s="338"/>
      <c r="AM12" s="336"/>
      <c r="AN12" s="338"/>
      <c r="AO12" s="338"/>
      <c r="AP12" s="338"/>
      <c r="AQ12" s="338"/>
      <c r="AR12" s="340"/>
      <c r="AS12" s="336"/>
      <c r="AT12" s="338"/>
      <c r="AU12" s="338"/>
      <c r="AV12" s="338"/>
      <c r="AW12" s="338"/>
      <c r="AX12" s="338"/>
      <c r="AY12" s="338"/>
      <c r="AZ12" s="338"/>
      <c r="BA12" s="338"/>
      <c r="BB12" s="341"/>
      <c r="BC12" s="341"/>
      <c r="BD12" s="336"/>
      <c r="BE12" s="338"/>
      <c r="BF12" s="338"/>
      <c r="BG12" s="338"/>
      <c r="BH12" s="338"/>
      <c r="BI12" s="336"/>
      <c r="BJ12" s="340"/>
      <c r="BK12" s="338"/>
      <c r="BL12" s="342"/>
      <c r="BM12" s="348"/>
      <c r="BN12" s="348"/>
    </row>
    <row r="13">
      <c r="A13" s="345" t="s">
        <v>141</v>
      </c>
      <c r="B13" s="329" t="s">
        <v>985</v>
      </c>
      <c r="C13" s="150" t="s">
        <v>106</v>
      </c>
      <c r="D13" s="330"/>
      <c r="E13" s="331">
        <v>0.2</v>
      </c>
      <c r="F13" s="332">
        <f t="shared" si="6"/>
        <v>0</v>
      </c>
      <c r="G13" s="333">
        <f t="shared" si="7"/>
        <v>8</v>
      </c>
      <c r="H13" s="334" t="str">
        <f>IFERROR(__xludf.DUMMYFUNCTION("IFERROR(INDEX(INDEX('Ultimate Breakdown'!BossLookup,0,1),MATCH(INDEX(QUERY(TRANSPOSE({Table2[[#HEADERS],[TEM]:[TOE]];L13:BN13}),""select Col1 where Col2 &gt; 0 order by Col2 desc limit 3"",0),1,1),INDEX('Ultimate Breakdown'!BossLookup,0,2),0)),"""")"),"Wintertodt")</f>
        <v>Wintertodt</v>
      </c>
      <c r="I13" s="334" t="str">
        <f>IFERROR(__xludf.DUMMYFUNCTION("IFERROR(INDEX(INDEX('Ultimate Breakdown'!BossLookup,0,1),MATCH(INDEX(QUERY(TRANSPOSE({$L$3:$BN$3;L13:BN13}),""select Col1 where Col2 &gt; 0 order by Col2 desc limit 3"",0),2,1),INDEX('Ultimate Breakdown'!BossLookup,0,2),0)),"""")"),"Moons of Peril")</f>
        <v>Moons of Peril</v>
      </c>
      <c r="J13" s="334" t="str">
        <f>IFERROR(__xludf.DUMMYFUNCTION("IFERROR(INDEX(INDEX('Ultimate Breakdown'!BossLookup,0,1),MATCH(INDEX(QUERY(TRANSPOSE({Table2[[#HEADERS],[TEM]:[TOE]];L13:BN13}),""select Col1 where Col2 &gt; 0 order by Col2 desc limit 3"",0),3,1),INDEX('Ultimate Breakdown'!BossLookup,0,2),0)),"""")"),"Mad Angel")</f>
        <v>Mad Angel</v>
      </c>
      <c r="K13" s="335"/>
      <c r="L13" s="336"/>
      <c r="M13" s="337"/>
      <c r="N13" s="338"/>
      <c r="O13" s="346">
        <v>4.0</v>
      </c>
      <c r="P13" s="336"/>
      <c r="Q13" s="338"/>
      <c r="R13" s="338"/>
      <c r="S13" s="338"/>
      <c r="T13" s="338"/>
      <c r="U13" s="338"/>
      <c r="V13" s="336"/>
      <c r="W13" s="338"/>
      <c r="X13" s="338"/>
      <c r="Y13" s="338"/>
      <c r="Z13" s="346">
        <v>3.0</v>
      </c>
      <c r="AA13" s="338"/>
      <c r="AB13" s="338"/>
      <c r="AC13" s="338"/>
      <c r="AD13" s="338"/>
      <c r="AE13" s="338"/>
      <c r="AF13" s="339">
        <v>1.0</v>
      </c>
      <c r="AG13" s="340"/>
      <c r="AH13" s="340"/>
      <c r="AI13" s="336"/>
      <c r="AJ13" s="338"/>
      <c r="AK13" s="338"/>
      <c r="AL13" s="338"/>
      <c r="AM13" s="336"/>
      <c r="AN13" s="338"/>
      <c r="AO13" s="338"/>
      <c r="AP13" s="338"/>
      <c r="AQ13" s="338"/>
      <c r="AR13" s="340"/>
      <c r="AS13" s="336"/>
      <c r="AT13" s="338"/>
      <c r="AU13" s="338"/>
      <c r="AV13" s="338"/>
      <c r="AW13" s="338"/>
      <c r="AX13" s="338"/>
      <c r="AY13" s="338"/>
      <c r="AZ13" s="338"/>
      <c r="BA13" s="338"/>
      <c r="BB13" s="341"/>
      <c r="BC13" s="341"/>
      <c r="BD13" s="336"/>
      <c r="BE13" s="338"/>
      <c r="BF13" s="338"/>
      <c r="BG13" s="338"/>
      <c r="BH13" s="338"/>
      <c r="BI13" s="336"/>
      <c r="BJ13" s="340"/>
      <c r="BK13" s="338"/>
      <c r="BL13" s="342"/>
      <c r="BM13" s="348"/>
      <c r="BN13" s="348"/>
    </row>
    <row r="14">
      <c r="A14" s="328" t="s">
        <v>144</v>
      </c>
      <c r="B14" s="329" t="s">
        <v>985</v>
      </c>
      <c r="C14" s="150" t="s">
        <v>106</v>
      </c>
      <c r="D14" s="330"/>
      <c r="E14" s="331">
        <v>17.7</v>
      </c>
      <c r="F14" s="332">
        <f t="shared" si="6"/>
        <v>8</v>
      </c>
      <c r="G14" s="333">
        <f t="shared" si="7"/>
        <v>634</v>
      </c>
      <c r="H14" s="334" t="str">
        <f>IFERROR(__xludf.DUMMYFUNCTION("IFERROR(INDEX(INDEX('Ultimate Breakdown'!BossLookup,0,1),MATCH(INDEX(QUERY(TRANSPOSE({Table2[[#HEADERS],[TEM]:[TOE]];L14:BN14}),""select Col1 where Col2 &gt; 0 order by Col2 desc limit 3"",0),1,1),INDEX('Ultimate Breakdown'!BossLookup,0,2),0)),"""")"),"Alchemical Hydra")</f>
        <v>Alchemical Hydra</v>
      </c>
      <c r="I14" s="334" t="str">
        <f>IFERROR(__xludf.DUMMYFUNCTION("IFERROR(INDEX(INDEX('Ultimate Breakdown'!BossLookup,0,1),MATCH(INDEX(QUERY(TRANSPOSE({$L$3:$BN$3;L14:BN14}),""select Col1 where Col2 &gt; 0 order by Col2 desc limit 3"",0),2,1),INDEX('Ultimate Breakdown'!BossLookup,0,2),0)),"""")"),"Vorkath")</f>
        <v>Vorkath</v>
      </c>
      <c r="J14" s="334" t="str">
        <f>IFERROR(__xludf.DUMMYFUNCTION("IFERROR(INDEX(INDEX('Ultimate Breakdown'!BossLookup,0,1),MATCH(INDEX(QUERY(TRANSPOSE({Table2[[#HEADERS],[TEM]:[TOE]];L14:BN14}),""select Col1 where Col2 &gt; 0 order by Col2 desc limit 3"",0),3,1),INDEX('Ultimate Breakdown'!BossLookup,0,2),0)),"""")"),"Araxxor")</f>
        <v>Araxxor</v>
      </c>
      <c r="K14" s="335"/>
      <c r="L14" s="336"/>
      <c r="M14" s="337"/>
      <c r="N14" s="338"/>
      <c r="O14" s="338"/>
      <c r="P14" s="336"/>
      <c r="Q14" s="338"/>
      <c r="R14" s="338"/>
      <c r="S14" s="338"/>
      <c r="T14" s="338"/>
      <c r="U14" s="338"/>
      <c r="V14" s="336"/>
      <c r="W14" s="338"/>
      <c r="X14" s="338"/>
      <c r="Y14" s="338"/>
      <c r="Z14" s="338"/>
      <c r="AA14" s="346">
        <v>3.0</v>
      </c>
      <c r="AB14" s="338"/>
      <c r="AC14" s="346">
        <v>10.0</v>
      </c>
      <c r="AD14" s="346">
        <v>161.0</v>
      </c>
      <c r="AE14" s="346">
        <v>53.0</v>
      </c>
      <c r="AF14" s="339">
        <v>51.0</v>
      </c>
      <c r="AG14" s="340"/>
      <c r="AH14" s="340"/>
      <c r="AI14" s="336"/>
      <c r="AJ14" s="338"/>
      <c r="AK14" s="338"/>
      <c r="AL14" s="338"/>
      <c r="AM14" s="349">
        <v>23.0</v>
      </c>
      <c r="AN14" s="338"/>
      <c r="AO14" s="338"/>
      <c r="AP14" s="338"/>
      <c r="AQ14" s="338"/>
      <c r="AR14" s="340"/>
      <c r="AS14" s="336"/>
      <c r="AT14" s="346">
        <v>182.0</v>
      </c>
      <c r="AU14" s="346">
        <v>114.0</v>
      </c>
      <c r="AV14" s="346">
        <v>37.0</v>
      </c>
      <c r="AW14" s="338"/>
      <c r="AX14" s="338"/>
      <c r="AY14" s="338"/>
      <c r="AZ14" s="338"/>
      <c r="BA14" s="338"/>
      <c r="BB14" s="341"/>
      <c r="BC14" s="341"/>
      <c r="BD14" s="336"/>
      <c r="BE14" s="338"/>
      <c r="BF14" s="338"/>
      <c r="BG14" s="338"/>
      <c r="BH14" s="338"/>
      <c r="BI14" s="336"/>
      <c r="BJ14" s="340"/>
      <c r="BK14" s="338"/>
      <c r="BL14" s="342"/>
      <c r="BM14" s="348"/>
      <c r="BN14" s="348"/>
    </row>
    <row r="15">
      <c r="A15" s="345" t="s">
        <v>149</v>
      </c>
      <c r="B15" s="329" t="s">
        <v>985</v>
      </c>
      <c r="C15" s="150" t="s">
        <v>106</v>
      </c>
      <c r="D15" s="330"/>
      <c r="E15" s="331">
        <v>0.16</v>
      </c>
      <c r="F15" s="332">
        <f t="shared" si="6"/>
        <v>3</v>
      </c>
      <c r="G15" s="333">
        <f t="shared" si="7"/>
        <v>112</v>
      </c>
      <c r="H15" s="334" t="str">
        <f>IFERROR(__xludf.DUMMYFUNCTION("IFERROR(INDEX(INDEX('Ultimate Breakdown'!BossLookup,0,1),MATCH(INDEX(QUERY(TRANSPOSE({Table2[[#HEADERS],[TEM]:[TOE]];L15:BN15}),""select Col1 where Col2 &gt; 0 order by Col2 desc limit 3"",0),1,1),INDEX('Ultimate Breakdown'!BossLookup,0,2),0)),"""")"),"Guardians of the Rift")</f>
        <v>Guardians of the Rift</v>
      </c>
      <c r="I15" s="334" t="str">
        <f>IFERROR(__xludf.DUMMYFUNCTION("IFERROR(INDEX(INDEX('Ultimate Breakdown'!BossLookup,0,1),MATCH(INDEX(QUERY(TRANSPOSE({$L$3:$BN$3;L15:BN15}),""select Col1 where Col2 &gt; 0 order by Col2 desc limit 3"",0),2,1),INDEX('Ultimate Breakdown'!BossLookup,0,2),0)),"""")"),"Wintertodt")</f>
        <v>Wintertodt</v>
      </c>
      <c r="J15" s="334" t="str">
        <f>IFERROR(__xludf.DUMMYFUNCTION("IFERROR(INDEX(INDEX('Ultimate Breakdown'!BossLookup,0,1),MATCH(INDEX(QUERY(TRANSPOSE({Table2[[#HEADERS],[TEM]:[TOE]];L15:BN15}),""select Col1 where Col2 &gt; 0 order by Col2 desc limit 3"",0),3,1),INDEX('Ultimate Breakdown'!BossLookup,0,2),0)),"""")"),"Tempoross")</f>
        <v>Tempoross</v>
      </c>
      <c r="K15" s="335">
        <v>2.0</v>
      </c>
      <c r="L15" s="349">
        <v>18.0</v>
      </c>
      <c r="M15" s="350">
        <v>69.0</v>
      </c>
      <c r="N15" s="338"/>
      <c r="O15" s="346">
        <v>22.0</v>
      </c>
      <c r="P15" s="336"/>
      <c r="Q15" s="338"/>
      <c r="R15" s="338"/>
      <c r="S15" s="338"/>
      <c r="T15" s="338"/>
      <c r="U15" s="338"/>
      <c r="V15" s="349">
        <v>1.0</v>
      </c>
      <c r="W15" s="338"/>
      <c r="X15" s="338"/>
      <c r="Y15" s="338"/>
      <c r="Z15" s="338"/>
      <c r="AA15" s="338"/>
      <c r="AB15" s="346">
        <v>2.0</v>
      </c>
      <c r="AC15" s="338"/>
      <c r="AD15" s="338"/>
      <c r="AE15" s="338"/>
      <c r="AF15" s="340"/>
      <c r="AG15" s="340"/>
      <c r="AH15" s="340"/>
      <c r="AI15" s="336"/>
      <c r="AJ15" s="338"/>
      <c r="AK15" s="338"/>
      <c r="AL15" s="338"/>
      <c r="AM15" s="336"/>
      <c r="AN15" s="338"/>
      <c r="AO15" s="338"/>
      <c r="AP15" s="338"/>
      <c r="AQ15" s="338"/>
      <c r="AR15" s="340"/>
      <c r="AS15" s="336"/>
      <c r="AT15" s="338"/>
      <c r="AU15" s="338"/>
      <c r="AV15" s="338"/>
      <c r="AW15" s="338"/>
      <c r="AX15" s="338"/>
      <c r="AY15" s="338"/>
      <c r="AZ15" s="338"/>
      <c r="BA15" s="338"/>
      <c r="BB15" s="341"/>
      <c r="BC15" s="341"/>
      <c r="BD15" s="336"/>
      <c r="BE15" s="338"/>
      <c r="BF15" s="338"/>
      <c r="BG15" s="338"/>
      <c r="BH15" s="338"/>
      <c r="BI15" s="336"/>
      <c r="BJ15" s="340"/>
      <c r="BK15" s="338"/>
      <c r="BL15" s="342"/>
      <c r="BM15" s="348"/>
      <c r="BN15" s="348"/>
    </row>
    <row r="16">
      <c r="A16" s="328" t="s">
        <v>151</v>
      </c>
      <c r="B16" s="329" t="s">
        <v>985</v>
      </c>
      <c r="C16" s="150" t="s">
        <v>106</v>
      </c>
      <c r="D16" s="330"/>
      <c r="E16" s="331">
        <v>11.16</v>
      </c>
      <c r="F16" s="332">
        <f t="shared" si="6"/>
        <v>7</v>
      </c>
      <c r="G16" s="333">
        <f t="shared" si="7"/>
        <v>568</v>
      </c>
      <c r="H16" s="334" t="str">
        <f>IFERROR(__xludf.DUMMYFUNCTION("IFERROR(INDEX(INDEX('Ultimate Breakdown'!BossLookup,0,1),MATCH(INDEX(QUERY(TRANSPOSE({Table2[[#HEADERS],[TEM]:[TOE]];L16:BN16}),""select Col1 where Col2 &gt; 0 order by Col2 desc limit 3"",0),1,1),INDEX('Ultimate Breakdown'!BossLookup,0,2),0)),"""")"),"Venenatis")</f>
        <v>Venenatis</v>
      </c>
      <c r="I16" s="334" t="str">
        <f>IFERROR(__xludf.DUMMYFUNCTION("IFERROR(INDEX(INDEX('Ultimate Breakdown'!BossLookup,0,1),MATCH(INDEX(QUERY(TRANSPOSE({$L$3:$BN$3;L16:BN16}),""select Col1 where Col2 &gt; 0 order by Col2 desc limit 3"",0),2,1),INDEX('Ultimate Breakdown'!BossLookup,0,2),0)),"""")"),"Zalcano")</f>
        <v>Zalcano</v>
      </c>
      <c r="J16" s="334" t="str">
        <f>IFERROR(__xludf.DUMMYFUNCTION("IFERROR(INDEX(INDEX('Ultimate Breakdown'!BossLookup,0,1),MATCH(INDEX(QUERY(TRANSPOSE({Table2[[#HEADERS],[TEM]:[TOE]];L16:BN16}),""select Col1 where Col2 &gt; 0 order by Col2 desc limit 3"",0),3,1),INDEX('Ultimate Breakdown'!BossLookup,0,2),0)),"""")"),"Artio")</f>
        <v>Artio</v>
      </c>
      <c r="K16" s="335">
        <v>9.0</v>
      </c>
      <c r="L16" s="336"/>
      <c r="M16" s="337"/>
      <c r="N16" s="346">
        <v>118.0</v>
      </c>
      <c r="O16" s="338"/>
      <c r="P16" s="349">
        <v>62.0</v>
      </c>
      <c r="Q16" s="346">
        <v>8.0</v>
      </c>
      <c r="R16" s="338"/>
      <c r="S16" s="338"/>
      <c r="T16" s="338"/>
      <c r="U16" s="346">
        <v>310.0</v>
      </c>
      <c r="V16" s="336"/>
      <c r="W16" s="338"/>
      <c r="X16" s="338"/>
      <c r="Y16" s="338"/>
      <c r="Z16" s="338"/>
      <c r="AA16" s="338"/>
      <c r="AB16" s="338"/>
      <c r="AC16" s="346">
        <v>3.0</v>
      </c>
      <c r="AD16" s="338"/>
      <c r="AE16" s="338"/>
      <c r="AF16" s="339">
        <v>1.0</v>
      </c>
      <c r="AG16" s="340"/>
      <c r="AH16" s="340"/>
      <c r="AI16" s="336"/>
      <c r="AJ16" s="338"/>
      <c r="AK16" s="338"/>
      <c r="AL16" s="338"/>
      <c r="AM16" s="336"/>
      <c r="AN16" s="338"/>
      <c r="AO16" s="338"/>
      <c r="AP16" s="338"/>
      <c r="AQ16" s="338"/>
      <c r="AR16" s="340"/>
      <c r="AS16" s="349">
        <v>50.0</v>
      </c>
      <c r="AT16" s="338"/>
      <c r="AU16" s="338"/>
      <c r="AV16" s="338"/>
      <c r="AW16" s="338"/>
      <c r="AX16" s="338"/>
      <c r="AY16" s="338"/>
      <c r="AZ16" s="338"/>
      <c r="BA16" s="338"/>
      <c r="BB16" s="341"/>
      <c r="BC16" s="341"/>
      <c r="BD16" s="336"/>
      <c r="BE16" s="346">
        <v>1.0</v>
      </c>
      <c r="BF16" s="338"/>
      <c r="BG16" s="338"/>
      <c r="BH16" s="338"/>
      <c r="BI16" s="336"/>
      <c r="BJ16" s="340"/>
      <c r="BK16" s="338"/>
      <c r="BL16" s="342"/>
      <c r="BM16" s="351">
        <v>6.0</v>
      </c>
      <c r="BN16" s="351">
        <v>9.0</v>
      </c>
    </row>
    <row r="17">
      <c r="A17" s="345" t="s">
        <v>158</v>
      </c>
      <c r="B17" s="329" t="s">
        <v>985</v>
      </c>
      <c r="C17" s="150" t="s">
        <v>106</v>
      </c>
      <c r="D17" s="330"/>
      <c r="E17" s="331">
        <v>21.44</v>
      </c>
      <c r="F17" s="332">
        <f t="shared" si="6"/>
        <v>7</v>
      </c>
      <c r="G17" s="333">
        <f t="shared" si="7"/>
        <v>282</v>
      </c>
      <c r="H17" s="334" t="str">
        <f>IFERROR(__xludf.DUMMYFUNCTION("IFERROR(INDEX(INDEX('Ultimate Breakdown'!BossLookup,0,1),MATCH(INDEX(QUERY(TRANSPOSE({Table2[[#HEADERS],[TEM]:[TOE]];L17:BN17}),""select Col1 where Col2 &gt; 0 order by Col2 desc limit 3"",0),1,1),INDEX('Ultimate Breakdown'!BossLookup,0,2),0)),"""")"),"Doom of Mokhaiotl")</f>
        <v>Doom of Mokhaiotl</v>
      </c>
      <c r="I17" s="334" t="str">
        <f>IFERROR(__xludf.DUMMYFUNCTION("IFERROR(INDEX(INDEX('Ultimate Breakdown'!BossLookup,0,1),MATCH(INDEX(QUERY(TRANSPOSE({$L$3:$BN$3;L17:BN17}),""select Col1 where Col2 &gt; 0 order by Col2 desc limit 3"",0),2,1),INDEX('Ultimate Breakdown'!BossLookup,0,2),0)),"""")"),"Maggot King")</f>
        <v>Maggot King</v>
      </c>
      <c r="J17" s="334" t="str">
        <f>IFERROR(__xludf.DUMMYFUNCTION("IFERROR(INDEX(INDEX('Ultimate Breakdown'!BossLookup,0,1),MATCH(INDEX(QUERY(TRANSPOSE({Table2[[#HEADERS],[TEM]:[TOE]];L17:BN17}),""select Col1 where Col2 &gt; 0 order by Col2 desc limit 3"",0),3,1),INDEX('Ultimate Breakdown'!BossLookup,0,2),0)),"""")"),"Chambers of Xeric")</f>
        <v>Chambers of Xeric</v>
      </c>
      <c r="K17" s="335"/>
      <c r="L17" s="336"/>
      <c r="M17" s="337"/>
      <c r="N17" s="338"/>
      <c r="O17" s="338"/>
      <c r="P17" s="336"/>
      <c r="Q17" s="338"/>
      <c r="R17" s="338"/>
      <c r="S17" s="338"/>
      <c r="T17" s="338"/>
      <c r="U17" s="338"/>
      <c r="V17" s="336"/>
      <c r="W17" s="346">
        <v>164.0</v>
      </c>
      <c r="X17" s="338"/>
      <c r="Y17" s="346">
        <v>6.0</v>
      </c>
      <c r="Z17" s="338"/>
      <c r="AA17" s="338"/>
      <c r="AB17" s="338"/>
      <c r="AC17" s="338"/>
      <c r="AD17" s="338"/>
      <c r="AE17" s="346">
        <v>20.0</v>
      </c>
      <c r="AF17" s="340"/>
      <c r="AG17" s="339">
        <v>43.0</v>
      </c>
      <c r="AH17" s="340"/>
      <c r="AI17" s="336"/>
      <c r="AJ17" s="338"/>
      <c r="AK17" s="338"/>
      <c r="AL17" s="338"/>
      <c r="AM17" s="336"/>
      <c r="AN17" s="338"/>
      <c r="AO17" s="346">
        <v>6.0</v>
      </c>
      <c r="AP17" s="338"/>
      <c r="AQ17" s="346">
        <v>11.0</v>
      </c>
      <c r="AR17" s="340"/>
      <c r="AS17" s="336"/>
      <c r="AT17" s="338"/>
      <c r="AU17" s="338"/>
      <c r="AV17" s="338"/>
      <c r="AW17" s="338"/>
      <c r="AX17" s="338"/>
      <c r="AY17" s="338"/>
      <c r="AZ17" s="338"/>
      <c r="BA17" s="338"/>
      <c r="BB17" s="341"/>
      <c r="BC17" s="341"/>
      <c r="BD17" s="336"/>
      <c r="BE17" s="338"/>
      <c r="BF17" s="338"/>
      <c r="BG17" s="338"/>
      <c r="BH17" s="338"/>
      <c r="BI17" s="349">
        <v>25.0</v>
      </c>
      <c r="BJ17" s="339">
        <v>2.0</v>
      </c>
      <c r="BK17" s="338"/>
      <c r="BL17" s="342"/>
      <c r="BM17" s="351">
        <v>3.0</v>
      </c>
      <c r="BN17" s="351">
        <v>2.0</v>
      </c>
    </row>
    <row r="18">
      <c r="A18" s="328" t="s">
        <v>162</v>
      </c>
      <c r="B18" s="329" t="s">
        <v>985</v>
      </c>
      <c r="C18" s="150" t="s">
        <v>106</v>
      </c>
      <c r="D18" s="330"/>
      <c r="E18" s="331">
        <v>21.68</v>
      </c>
      <c r="F18" s="332">
        <f t="shared" si="6"/>
        <v>9</v>
      </c>
      <c r="G18" s="333">
        <f t="shared" si="7"/>
        <v>655</v>
      </c>
      <c r="H18" s="334" t="str">
        <f>IFERROR(__xludf.DUMMYFUNCTION("IFERROR(INDEX(INDEX('Ultimate Breakdown'!BossLookup,0,1),MATCH(INDEX(QUERY(TRANSPOSE({Table2[[#HEADERS],[TEM]:[TOE]];L18:BN18}),""select Col1 where Col2 &gt; 0 order by Col2 desc limit 3"",0),1,1),INDEX('Ultimate Breakdown'!BossLookup,0,2),0)),"""")"),"Araxxor")</f>
        <v>Araxxor</v>
      </c>
      <c r="I18" s="334" t="str">
        <f>IFERROR(__xludf.DUMMYFUNCTION("IFERROR(INDEX(INDEX('Ultimate Breakdown'!BossLookup,0,1),MATCH(INDEX(QUERY(TRANSPOSE({$L$3:$BN$3;L18:BN18}),""select Col1 where Col2 &gt; 0 order by Col2 desc limit 3"",0),2,1),INDEX('Ultimate Breakdown'!BossLookup,0,2),0)),"""")"),"Duke Sucellus")</f>
        <v>Duke Sucellus</v>
      </c>
      <c r="J18" s="334" t="str">
        <f>IFERROR(__xludf.DUMMYFUNCTION("IFERROR(INDEX(INDEX('Ultimate Breakdown'!BossLookup,0,1),MATCH(INDEX(QUERY(TRANSPOSE({Table2[[#HEADERS],[TEM]:[TOE]];L18:BN18}),""select Col1 where Col2 &gt; 0 order by Col2 desc limit 3"",0),3,1),INDEX('Ultimate Breakdown'!BossLookup,0,2),0)),"""")"),"Muspah")</f>
        <v>Muspah</v>
      </c>
      <c r="K18" s="335"/>
      <c r="L18" s="336"/>
      <c r="M18" s="337"/>
      <c r="N18" s="338"/>
      <c r="O18" s="338"/>
      <c r="P18" s="336"/>
      <c r="Q18" s="338"/>
      <c r="R18" s="338"/>
      <c r="S18" s="338"/>
      <c r="T18" s="338"/>
      <c r="U18" s="338"/>
      <c r="V18" s="336"/>
      <c r="W18" s="338"/>
      <c r="X18" s="338"/>
      <c r="Y18" s="346">
        <v>6.0</v>
      </c>
      <c r="Z18" s="338"/>
      <c r="AA18" s="346">
        <v>67.0</v>
      </c>
      <c r="AB18" s="338"/>
      <c r="AC18" s="338"/>
      <c r="AD18" s="338"/>
      <c r="AE18" s="346">
        <v>15.0</v>
      </c>
      <c r="AF18" s="339">
        <v>1.0</v>
      </c>
      <c r="AG18" s="340"/>
      <c r="AH18" s="340"/>
      <c r="AI18" s="349">
        <v>69.0</v>
      </c>
      <c r="AJ18" s="338"/>
      <c r="AK18" s="346">
        <v>60.0</v>
      </c>
      <c r="AL18" s="338"/>
      <c r="AM18" s="349">
        <v>21.0</v>
      </c>
      <c r="AN18" s="338"/>
      <c r="AO18" s="338"/>
      <c r="AP18" s="338"/>
      <c r="AQ18" s="338"/>
      <c r="AR18" s="340"/>
      <c r="AS18" s="336"/>
      <c r="AT18" s="338"/>
      <c r="AU18" s="346">
        <v>373.0</v>
      </c>
      <c r="AV18" s="338"/>
      <c r="AW18" s="346">
        <v>4.0</v>
      </c>
      <c r="AX18" s="346">
        <v>3.0</v>
      </c>
      <c r="AY18" s="346">
        <v>4.0</v>
      </c>
      <c r="AZ18" s="338"/>
      <c r="BA18" s="338"/>
      <c r="BB18" s="341"/>
      <c r="BC18" s="341"/>
      <c r="BD18" s="349">
        <v>17.0</v>
      </c>
      <c r="BE18" s="338"/>
      <c r="BF18" s="338"/>
      <c r="BG18" s="338"/>
      <c r="BH18" s="338"/>
      <c r="BI18" s="336"/>
      <c r="BJ18" s="340"/>
      <c r="BK18" s="338"/>
      <c r="BL18" s="342"/>
      <c r="BM18" s="351">
        <v>13.0</v>
      </c>
      <c r="BN18" s="351">
        <v>2.0</v>
      </c>
    </row>
    <row r="19">
      <c r="A19" s="345" t="s">
        <v>168</v>
      </c>
      <c r="B19" s="329" t="s">
        <v>985</v>
      </c>
      <c r="C19" s="150" t="s">
        <v>106</v>
      </c>
      <c r="D19" s="330"/>
      <c r="E19" s="331">
        <v>0.52</v>
      </c>
      <c r="F19" s="332">
        <f t="shared" si="6"/>
        <v>2</v>
      </c>
      <c r="G19" s="333">
        <f t="shared" si="7"/>
        <v>38</v>
      </c>
      <c r="H19" s="334" t="str">
        <f>IFERROR(__xludf.DUMMYFUNCTION("IFERROR(INDEX(INDEX('Ultimate Breakdown'!BossLookup,0,1),MATCH(INDEX(QUERY(TRANSPOSE({Table2[[#HEADERS],[TEM]:[TOE]];L19:BN19}),""select Col1 where Col2 &gt; 0 order by Col2 desc limit 3"",0),1,1),INDEX('Ultimate Breakdown'!BossLookup,0,2),0)),"""")"),"Zalcano")</f>
        <v>Zalcano</v>
      </c>
      <c r="I19" s="334" t="str">
        <f>IFERROR(__xludf.DUMMYFUNCTION("IFERROR(INDEX(INDEX('Ultimate Breakdown'!BossLookup,0,1),MATCH(INDEX(QUERY(TRANSPOSE({$L$3:$BN$3;L19:BN19}),""select Col1 where Col2 &gt; 0 order by Col2 desc limit 3"",0),2,1),INDEX('Ultimate Breakdown'!BossLookup,0,2),0)),"""")"),"Calvari'ion")</f>
        <v>Calvari'ion</v>
      </c>
      <c r="J19" s="334" t="str">
        <f>IFERROR(__xludf.DUMMYFUNCTION("IFERROR(INDEX(INDEX('Ultimate Breakdown'!BossLookup,0,1),MATCH(INDEX(QUERY(TRANSPOSE({Table2[[#HEADERS],[TEM]:[TOE]];L19:BN19}),""select Col1 where Col2 &gt; 0 order by Col2 desc limit 3"",0),3,1),INDEX('Ultimate Breakdown'!BossLookup,0,2),0)),"""")"),"Scurrius")</f>
        <v>Scurrius</v>
      </c>
      <c r="K19" s="335">
        <v>2.0</v>
      </c>
      <c r="L19" s="336"/>
      <c r="M19" s="337"/>
      <c r="N19" s="346">
        <v>17.0</v>
      </c>
      <c r="O19" s="338"/>
      <c r="P19" s="336"/>
      <c r="Q19" s="338"/>
      <c r="R19" s="346">
        <v>17.0</v>
      </c>
      <c r="S19" s="338"/>
      <c r="T19" s="338"/>
      <c r="U19" s="338"/>
      <c r="V19" s="336"/>
      <c r="W19" s="338"/>
      <c r="X19" s="338"/>
      <c r="Y19" s="338"/>
      <c r="Z19" s="346">
        <v>1.0</v>
      </c>
      <c r="AA19" s="338"/>
      <c r="AB19" s="346">
        <v>2.0</v>
      </c>
      <c r="AC19" s="338"/>
      <c r="AD19" s="338"/>
      <c r="AE19" s="338"/>
      <c r="AF19" s="339">
        <v>1.0</v>
      </c>
      <c r="AG19" s="340"/>
      <c r="AH19" s="340"/>
      <c r="AI19" s="336"/>
      <c r="AJ19" s="338"/>
      <c r="AK19" s="338"/>
      <c r="AL19" s="338"/>
      <c r="AM19" s="336"/>
      <c r="AN19" s="338"/>
      <c r="AO19" s="338"/>
      <c r="AP19" s="338"/>
      <c r="AQ19" s="338"/>
      <c r="AR19" s="340"/>
      <c r="AS19" s="336"/>
      <c r="AT19" s="338"/>
      <c r="AU19" s="338"/>
      <c r="AV19" s="338"/>
      <c r="AW19" s="338"/>
      <c r="AX19" s="338"/>
      <c r="AY19" s="338"/>
      <c r="AZ19" s="338"/>
      <c r="BA19" s="338"/>
      <c r="BB19" s="341"/>
      <c r="BC19" s="341"/>
      <c r="BD19" s="336"/>
      <c r="BE19" s="338"/>
      <c r="BF19" s="338"/>
      <c r="BG19" s="338"/>
      <c r="BH19" s="338"/>
      <c r="BI19" s="336"/>
      <c r="BJ19" s="340"/>
      <c r="BK19" s="338"/>
      <c r="BL19" s="342"/>
      <c r="BM19" s="348"/>
      <c r="BN19" s="348"/>
    </row>
    <row r="20">
      <c r="A20" s="328" t="s">
        <v>170</v>
      </c>
      <c r="B20" s="329" t="s">
        <v>985</v>
      </c>
      <c r="C20" s="150" t="s">
        <v>106</v>
      </c>
      <c r="D20" s="330"/>
      <c r="E20" s="331">
        <v>10.96</v>
      </c>
      <c r="F20" s="332">
        <f t="shared" si="6"/>
        <v>9</v>
      </c>
      <c r="G20" s="333">
        <f t="shared" si="7"/>
        <v>298</v>
      </c>
      <c r="H20" s="334" t="str">
        <f>IFERROR(__xludf.DUMMYFUNCTION("IFERROR(INDEX(INDEX('Ultimate Breakdown'!BossLookup,0,1),MATCH(INDEX(QUERY(TRANSPOSE({Table2[[#HEADERS],[TEM]:[TOE]];L20:BN20}),""select Col1 where Col2 &gt; 0 order by Col2 desc limit 3"",0),1,1),INDEX('Ultimate Breakdown'!BossLookup,0,2),0)),"""")"),"Duke Sucellus")</f>
        <v>Duke Sucellus</v>
      </c>
      <c r="I20" s="334" t="str">
        <f>IFERROR(__xludf.DUMMYFUNCTION("IFERROR(INDEX(INDEX('Ultimate Breakdown'!BossLookup,0,1),MATCH(INDEX(QUERY(TRANSPOSE({$L$3:$BN$3;L20:BN20}),""select Col1 where Col2 &gt; 0 order by Col2 desc limit 3"",0),2,1),INDEX('Ultimate Breakdown'!BossLookup,0,2),0)),"""")"),"Hueycoatl")</f>
        <v>Hueycoatl</v>
      </c>
      <c r="J20" s="334" t="str">
        <f>IFERROR(__xludf.DUMMYFUNCTION("IFERROR(INDEX(INDEX('Ultimate Breakdown'!BossLookup,0,1),MATCH(INDEX(QUERY(TRANSPOSE({Table2[[#HEADERS],[TEM]:[TOE]];L20:BN20}),""select Col1 where Col2 &gt; 0 order by Col2 desc limit 3"",0),3,1),INDEX('Ultimate Breakdown'!BossLookup,0,2),0)),"""")"),"Vet'ion")</f>
        <v>Vet'ion</v>
      </c>
      <c r="K20" s="335">
        <v>11.0</v>
      </c>
      <c r="L20" s="336"/>
      <c r="M20" s="350">
        <v>44.0</v>
      </c>
      <c r="N20" s="346">
        <v>1.0</v>
      </c>
      <c r="O20" s="338"/>
      <c r="P20" s="336"/>
      <c r="Q20" s="338"/>
      <c r="R20" s="338"/>
      <c r="S20" s="346">
        <v>45.0</v>
      </c>
      <c r="T20" s="338"/>
      <c r="U20" s="338"/>
      <c r="V20" s="336"/>
      <c r="W20" s="338"/>
      <c r="X20" s="346">
        <v>2.0</v>
      </c>
      <c r="Y20" s="338"/>
      <c r="Z20" s="338"/>
      <c r="AA20" s="346">
        <v>1.0</v>
      </c>
      <c r="AB20" s="338"/>
      <c r="AC20" s="346">
        <v>4.0</v>
      </c>
      <c r="AD20" s="338"/>
      <c r="AE20" s="346">
        <v>6.0</v>
      </c>
      <c r="AF20" s="339">
        <v>31.0</v>
      </c>
      <c r="AG20" s="340"/>
      <c r="AH20" s="340"/>
      <c r="AI20" s="349">
        <v>55.0</v>
      </c>
      <c r="AJ20" s="338"/>
      <c r="AK20" s="338"/>
      <c r="AL20" s="338"/>
      <c r="AM20" s="349">
        <v>55.0</v>
      </c>
      <c r="AN20" s="338"/>
      <c r="AO20" s="338"/>
      <c r="AP20" s="346">
        <v>16.0</v>
      </c>
      <c r="AQ20" s="346">
        <v>23.0</v>
      </c>
      <c r="AR20" s="340"/>
      <c r="AS20" s="336"/>
      <c r="AT20" s="338"/>
      <c r="AU20" s="338"/>
      <c r="AV20" s="338"/>
      <c r="AW20" s="338"/>
      <c r="AX20" s="338"/>
      <c r="AY20" s="338"/>
      <c r="AZ20" s="338"/>
      <c r="BA20" s="346">
        <v>1.0</v>
      </c>
      <c r="BB20" s="341"/>
      <c r="BC20" s="341"/>
      <c r="BD20" s="336"/>
      <c r="BE20" s="346">
        <v>1.0</v>
      </c>
      <c r="BF20" s="346">
        <v>2.0</v>
      </c>
      <c r="BG20" s="338"/>
      <c r="BH20" s="338"/>
      <c r="BI20" s="349">
        <v>4.0</v>
      </c>
      <c r="BJ20" s="340"/>
      <c r="BK20" s="338"/>
      <c r="BL20" s="342"/>
      <c r="BM20" s="351">
        <v>5.0</v>
      </c>
      <c r="BN20" s="351">
        <v>2.0</v>
      </c>
    </row>
    <row r="21">
      <c r="A21" s="345" t="s">
        <v>176</v>
      </c>
      <c r="B21" s="329" t="s">
        <v>985</v>
      </c>
      <c r="C21" s="150" t="s">
        <v>106</v>
      </c>
      <c r="D21" s="330"/>
      <c r="E21" s="331">
        <v>14.96</v>
      </c>
      <c r="F21" s="332">
        <f t="shared" si="6"/>
        <v>7</v>
      </c>
      <c r="G21" s="333">
        <f t="shared" si="7"/>
        <v>657</v>
      </c>
      <c r="H21" s="334" t="str">
        <f>IFERROR(__xludf.DUMMYFUNCTION("IFERROR(INDEX(INDEX('Ultimate Breakdown'!BossLookup,0,1),MATCH(INDEX(QUERY(TRANSPOSE({Table2[[#HEADERS],[TEM]:[TOE]];L21:BN21}),""select Col1 where Col2 &gt; 0 order by Col2 desc limit 3"",0),1,1),INDEX('Ultimate Breakdown'!BossLookup,0,2),0)),"""")"),"Abyssal Sire")</f>
        <v>Abyssal Sire</v>
      </c>
      <c r="I21" s="334" t="str">
        <f>IFERROR(__xludf.DUMMYFUNCTION("IFERROR(INDEX(INDEX('Ultimate Breakdown'!BossLookup,0,1),MATCH(INDEX(QUERY(TRANSPOSE({$L$3:$BN$3;L21:BN21}),""select Col1 where Col2 &gt; 0 order by Col2 desc limit 3"",0),2,1),INDEX('Ultimate Breakdown'!BossLookup,0,2),0)),"""")"),"Araxxor")</f>
        <v>Araxxor</v>
      </c>
      <c r="J21" s="334" t="str">
        <f>IFERROR(__xludf.DUMMYFUNCTION("IFERROR(INDEX(INDEX('Ultimate Breakdown'!BossLookup,0,1),MATCH(INDEX(QUERY(TRANSPOSE({Table2[[#HEADERS],[TEM]:[TOE]];L21:BN21}),""select Col1 where Col2 &gt; 0 order by Col2 desc limit 3"",0),3,1),INDEX('Ultimate Breakdown'!BossLookup,0,2),0)),"""")"),"Alchemical Hydra")</f>
        <v>Alchemical Hydra</v>
      </c>
      <c r="K21" s="335"/>
      <c r="L21" s="336"/>
      <c r="M21" s="350">
        <v>1.0</v>
      </c>
      <c r="N21" s="338"/>
      <c r="O21" s="338"/>
      <c r="P21" s="336"/>
      <c r="Q21" s="338"/>
      <c r="R21" s="338"/>
      <c r="S21" s="346">
        <v>6.0</v>
      </c>
      <c r="T21" s="338"/>
      <c r="U21" s="338"/>
      <c r="V21" s="336"/>
      <c r="W21" s="338"/>
      <c r="X21" s="338"/>
      <c r="Y21" s="338"/>
      <c r="Z21" s="338"/>
      <c r="AA21" s="338"/>
      <c r="AB21" s="338"/>
      <c r="AC21" s="346">
        <v>3.0</v>
      </c>
      <c r="AD21" s="338"/>
      <c r="AE21" s="346">
        <v>16.0</v>
      </c>
      <c r="AF21" s="339">
        <v>1.0</v>
      </c>
      <c r="AG21" s="340"/>
      <c r="AH21" s="340"/>
      <c r="AI21" s="349">
        <v>10.0</v>
      </c>
      <c r="AJ21" s="338"/>
      <c r="AK21" s="338"/>
      <c r="AL21" s="338"/>
      <c r="AM21" s="336"/>
      <c r="AN21" s="338"/>
      <c r="AO21" s="338"/>
      <c r="AP21" s="338"/>
      <c r="AQ21" s="338"/>
      <c r="AR21" s="340"/>
      <c r="AS21" s="349">
        <v>265.0</v>
      </c>
      <c r="AT21" s="346">
        <v>50.0</v>
      </c>
      <c r="AU21" s="346">
        <v>259.0</v>
      </c>
      <c r="AV21" s="346">
        <v>46.0</v>
      </c>
      <c r="AW21" s="338"/>
      <c r="AX21" s="338"/>
      <c r="AY21" s="338"/>
      <c r="AZ21" s="338"/>
      <c r="BA21" s="338"/>
      <c r="BB21" s="341"/>
      <c r="BC21" s="341"/>
      <c r="BD21" s="336"/>
      <c r="BE21" s="338"/>
      <c r="BF21" s="338"/>
      <c r="BG21" s="338"/>
      <c r="BH21" s="338"/>
      <c r="BI21" s="336"/>
      <c r="BJ21" s="340"/>
      <c r="BK21" s="338"/>
      <c r="BL21" s="342"/>
      <c r="BM21" s="348"/>
      <c r="BN21" s="348"/>
    </row>
    <row r="22">
      <c r="A22" s="328" t="s">
        <v>178</v>
      </c>
      <c r="B22" s="329" t="s">
        <v>985</v>
      </c>
      <c r="C22" s="150" t="s">
        <v>106</v>
      </c>
      <c r="D22" s="330"/>
      <c r="E22" s="331">
        <v>12.38</v>
      </c>
      <c r="F22" s="332">
        <f t="shared" si="6"/>
        <v>7</v>
      </c>
      <c r="G22" s="333">
        <f t="shared" si="7"/>
        <v>366</v>
      </c>
      <c r="H22" s="334" t="str">
        <f>IFERROR(__xludf.DUMMYFUNCTION("IFERROR(INDEX(INDEX('Ultimate Breakdown'!BossLookup,0,1),MATCH(INDEX(QUERY(TRANSPOSE({Table2[[#HEADERS],[TEM]:[TOE]];L22:BN22}),""select Col1 where Col2 &gt; 0 order by Col2 desc limit 3"",0),1,1),INDEX('Ultimate Breakdown'!BossLookup,0,2),0)),"""")"),"Araxxor")</f>
        <v>Araxxor</v>
      </c>
      <c r="I22" s="334" t="str">
        <f>IFERROR(__xludf.DUMMYFUNCTION("IFERROR(INDEX(INDEX('Ultimate Breakdown'!BossLookup,0,1),MATCH(INDEX(QUERY(TRANSPOSE({$L$3:$BN$3;L22:BN22}),""select Col1 where Col2 &gt; 0 order by Col2 desc limit 3"",0),2,1),INDEX('Ultimate Breakdown'!BossLookup,0,2),0)),"""")"),"Yama")</f>
        <v>Yama</v>
      </c>
      <c r="J22" s="334" t="str">
        <f>IFERROR(__xludf.DUMMYFUNCTION("IFERROR(INDEX(INDEX('Ultimate Breakdown'!BossLookup,0,1),MATCH(INDEX(QUERY(TRANSPOSE({Table2[[#HEADERS],[TEM]:[TOE]];L22:BN22}),""select Col1 where Col2 &gt; 0 order by Col2 desc limit 3"",0),3,1),INDEX('Ultimate Breakdown'!BossLookup,0,2),0)),"""")"),"Nightmare")</f>
        <v>Nightmare</v>
      </c>
      <c r="K22" s="335"/>
      <c r="L22" s="336"/>
      <c r="M22" s="337"/>
      <c r="N22" s="338"/>
      <c r="O22" s="338"/>
      <c r="P22" s="336"/>
      <c r="Q22" s="338"/>
      <c r="R22" s="338"/>
      <c r="S22" s="338"/>
      <c r="T22" s="338"/>
      <c r="U22" s="338"/>
      <c r="V22" s="336"/>
      <c r="W22" s="338"/>
      <c r="X22" s="338"/>
      <c r="Y22" s="338"/>
      <c r="Z22" s="346">
        <v>2.0</v>
      </c>
      <c r="AA22" s="338"/>
      <c r="AB22" s="338"/>
      <c r="AC22" s="338"/>
      <c r="AD22" s="338"/>
      <c r="AE22" s="338"/>
      <c r="AF22" s="339">
        <v>1.0</v>
      </c>
      <c r="AG22" s="340"/>
      <c r="AH22" s="340"/>
      <c r="AI22" s="336"/>
      <c r="AJ22" s="338"/>
      <c r="AK22" s="338"/>
      <c r="AL22" s="338"/>
      <c r="AM22" s="336"/>
      <c r="AN22" s="346">
        <v>19.0</v>
      </c>
      <c r="AO22" s="346">
        <v>8.0</v>
      </c>
      <c r="AP22" s="338"/>
      <c r="AQ22" s="346">
        <v>57.0</v>
      </c>
      <c r="AR22" s="340"/>
      <c r="AS22" s="336"/>
      <c r="AT22" s="338"/>
      <c r="AU22" s="346">
        <v>231.0</v>
      </c>
      <c r="AV22" s="338"/>
      <c r="AW22" s="346">
        <v>14.0</v>
      </c>
      <c r="AX22" s="346">
        <v>19.0</v>
      </c>
      <c r="AY22" s="346">
        <v>15.0</v>
      </c>
      <c r="AZ22" s="338"/>
      <c r="BA22" s="338"/>
      <c r="BB22" s="341"/>
      <c r="BC22" s="341"/>
      <c r="BD22" s="336"/>
      <c r="BE22" s="338"/>
      <c r="BF22" s="338"/>
      <c r="BG22" s="338"/>
      <c r="BH22" s="338"/>
      <c r="BI22" s="336"/>
      <c r="BJ22" s="340"/>
      <c r="BK22" s="338"/>
      <c r="BL22" s="342"/>
      <c r="BM22" s="348"/>
      <c r="BN22" s="348"/>
    </row>
    <row r="23">
      <c r="A23" s="345" t="s">
        <v>179</v>
      </c>
      <c r="B23" s="329" t="s">
        <v>985</v>
      </c>
      <c r="C23" s="150" t="s">
        <v>106</v>
      </c>
      <c r="D23" s="330"/>
      <c r="E23" s="331">
        <v>6.12</v>
      </c>
      <c r="F23" s="332">
        <f t="shared" si="6"/>
        <v>10</v>
      </c>
      <c r="G23" s="333">
        <f t="shared" si="7"/>
        <v>230</v>
      </c>
      <c r="H23" s="334" t="str">
        <f>IFERROR(__xludf.DUMMYFUNCTION("IFERROR(INDEX(INDEX('Ultimate Breakdown'!BossLookup,0,1),MATCH(INDEX(QUERY(TRANSPOSE({Table2[[#HEADERS],[TEM]:[TOE]];L23:BN23}),""select Col1 where Col2 &gt; 0 order by Col2 desc limit 3"",0),1,1),INDEX('Ultimate Breakdown'!BossLookup,0,2),0)),"""")"),"Vet'ion")</f>
        <v>Vet'ion</v>
      </c>
      <c r="I23" s="334" t="str">
        <f>IFERROR(__xludf.DUMMYFUNCTION("IFERROR(INDEX(INDEX('Ultimate Breakdown'!BossLookup,0,1),MATCH(INDEX(QUERY(TRANSPOSE({$L$3:$BN$3;L23:BN23}),""select Col1 where Col2 &gt; 0 order by Col2 desc limit 3"",0),2,1),INDEX('Ultimate Breakdown'!BossLookup,0,2),0)),"""")"),"Hueycoatl")</f>
        <v>Hueycoatl</v>
      </c>
      <c r="J23" s="334" t="str">
        <f>IFERROR(__xludf.DUMMYFUNCTION("IFERROR(INDEX(INDEX('Ultimate Breakdown'!BossLookup,0,1),MATCH(INDEX(QUERY(TRANSPOSE({Table2[[#HEADERS],[TEM]:[TOE]];L23:BN23}),""select Col1 where Col2 &gt; 0 order by Col2 desc limit 3"",0),3,1),INDEX('Ultimate Breakdown'!BossLookup,0,2),0)),"""")"),"Zalcano")</f>
        <v>Zalcano</v>
      </c>
      <c r="K23" s="335">
        <v>7.0</v>
      </c>
      <c r="L23" s="336"/>
      <c r="M23" s="337"/>
      <c r="N23" s="346">
        <v>26.0</v>
      </c>
      <c r="O23" s="346">
        <v>4.0</v>
      </c>
      <c r="P23" s="336"/>
      <c r="Q23" s="338"/>
      <c r="R23" s="338"/>
      <c r="S23" s="346">
        <v>71.0</v>
      </c>
      <c r="T23" s="338"/>
      <c r="U23" s="338"/>
      <c r="V23" s="349">
        <v>5.0</v>
      </c>
      <c r="W23" s="338"/>
      <c r="X23" s="338"/>
      <c r="Y23" s="338"/>
      <c r="Z23" s="346">
        <v>14.0</v>
      </c>
      <c r="AA23" s="338"/>
      <c r="AB23" s="346">
        <v>21.0</v>
      </c>
      <c r="AC23" s="346">
        <v>1.0</v>
      </c>
      <c r="AD23" s="346">
        <v>6.0</v>
      </c>
      <c r="AE23" s="338"/>
      <c r="AF23" s="339">
        <v>5.0</v>
      </c>
      <c r="AG23" s="340"/>
      <c r="AH23" s="340"/>
      <c r="AI23" s="336"/>
      <c r="AJ23" s="338"/>
      <c r="AK23" s="338"/>
      <c r="AL23" s="338"/>
      <c r="AM23" s="349">
        <v>54.0</v>
      </c>
      <c r="AN23" s="338"/>
      <c r="AO23" s="338"/>
      <c r="AP23" s="346">
        <v>18.0</v>
      </c>
      <c r="AQ23" s="338"/>
      <c r="AR23" s="340"/>
      <c r="AS23" s="336"/>
      <c r="AT23" s="338"/>
      <c r="AU23" s="338"/>
      <c r="AV23" s="338"/>
      <c r="AW23" s="338"/>
      <c r="AX23" s="338"/>
      <c r="AY23" s="338"/>
      <c r="AZ23" s="338"/>
      <c r="BA23" s="338"/>
      <c r="BB23" s="341"/>
      <c r="BC23" s="341"/>
      <c r="BD23" s="336"/>
      <c r="BE23" s="346">
        <v>5.0</v>
      </c>
      <c r="BF23" s="338"/>
      <c r="BG23" s="338"/>
      <c r="BH23" s="338"/>
      <c r="BI23" s="336"/>
      <c r="BJ23" s="340"/>
      <c r="BK23" s="338"/>
      <c r="BL23" s="342"/>
      <c r="BM23" s="348"/>
      <c r="BN23" s="348"/>
    </row>
    <row r="24">
      <c r="A24" s="328" t="s">
        <v>181</v>
      </c>
      <c r="B24" s="329" t="s">
        <v>985</v>
      </c>
      <c r="C24" s="150" t="s">
        <v>106</v>
      </c>
      <c r="D24" s="330"/>
      <c r="E24" s="331">
        <v>6.72</v>
      </c>
      <c r="F24" s="332">
        <f t="shared" si="6"/>
        <v>6</v>
      </c>
      <c r="G24" s="333">
        <f t="shared" si="7"/>
        <v>191</v>
      </c>
      <c r="H24" s="334" t="str">
        <f>IFERROR(__xludf.DUMMYFUNCTION("IFERROR(INDEX(INDEX('Ultimate Breakdown'!BossLookup,0,1),MATCH(INDEX(QUERY(TRANSPOSE({Table2[[#HEADERS],[TEM]:[TOE]];L24:BN24}),""select Col1 where Col2 &gt; 0 order by Col2 desc limit 3"",0),1,1),INDEX('Ultimate Breakdown'!BossLookup,0,2),0)),"""")"),"Grotesque Guardians")</f>
        <v>Grotesque Guardians</v>
      </c>
      <c r="I24" s="334" t="str">
        <f>IFERROR(__xludf.DUMMYFUNCTION("IFERROR(INDEX(INDEX('Ultimate Breakdown'!BossLookup,0,1),MATCH(INDEX(QUERY(TRANSPOSE({$L$3:$BN$3;L24:BN24}),""select Col1 where Col2 &gt; 0 order by Col2 desc limit 3"",0),2,1),INDEX('Ultimate Breakdown'!BossLookup,0,2),0)),"""")"),"Vorkath")</f>
        <v>Vorkath</v>
      </c>
      <c r="J24" s="334" t="str">
        <f>IFERROR(__xludf.DUMMYFUNCTION("IFERROR(INDEX(INDEX('Ultimate Breakdown'!BossLookup,0,1),MATCH(INDEX(QUERY(TRANSPOSE({Table2[[#HEADERS],[TEM]:[TOE]];L24:BN24}),""select Col1 where Col2 &gt; 0 order by Col2 desc limit 3"",0),3,1),INDEX('Ultimate Breakdown'!BossLookup,0,2),0)),"""")"),"Scurrius")</f>
        <v>Scurrius</v>
      </c>
      <c r="K24" s="335"/>
      <c r="L24" s="336"/>
      <c r="M24" s="337"/>
      <c r="N24" s="338"/>
      <c r="O24" s="346">
        <v>3.0</v>
      </c>
      <c r="P24" s="336"/>
      <c r="Q24" s="338"/>
      <c r="R24" s="338"/>
      <c r="S24" s="338"/>
      <c r="T24" s="338"/>
      <c r="U24" s="338"/>
      <c r="V24" s="349">
        <v>7.0</v>
      </c>
      <c r="W24" s="338"/>
      <c r="X24" s="338"/>
      <c r="Y24" s="338"/>
      <c r="Z24" s="346">
        <v>2.0</v>
      </c>
      <c r="AA24" s="338"/>
      <c r="AB24" s="346">
        <v>23.0</v>
      </c>
      <c r="AC24" s="338"/>
      <c r="AD24" s="346">
        <v>36.0</v>
      </c>
      <c r="AE24" s="346">
        <v>10.0</v>
      </c>
      <c r="AF24" s="340"/>
      <c r="AG24" s="340"/>
      <c r="AH24" s="340"/>
      <c r="AI24" s="336"/>
      <c r="AJ24" s="338"/>
      <c r="AK24" s="338"/>
      <c r="AL24" s="338"/>
      <c r="AM24" s="349">
        <v>4.0</v>
      </c>
      <c r="AN24" s="338"/>
      <c r="AO24" s="338"/>
      <c r="AP24" s="338"/>
      <c r="AQ24" s="338"/>
      <c r="AR24" s="340"/>
      <c r="AS24" s="336"/>
      <c r="AT24" s="338"/>
      <c r="AU24" s="338"/>
      <c r="AV24" s="338"/>
      <c r="AW24" s="338"/>
      <c r="AX24" s="338"/>
      <c r="AY24" s="338"/>
      <c r="AZ24" s="338"/>
      <c r="BA24" s="346">
        <v>100.0</v>
      </c>
      <c r="BB24" s="341"/>
      <c r="BC24" s="341"/>
      <c r="BD24" s="336"/>
      <c r="BE24" s="338"/>
      <c r="BF24" s="338"/>
      <c r="BG24" s="338"/>
      <c r="BH24" s="338"/>
      <c r="BI24" s="336"/>
      <c r="BJ24" s="340"/>
      <c r="BK24" s="338"/>
      <c r="BL24" s="342"/>
      <c r="BM24" s="351">
        <v>6.0</v>
      </c>
      <c r="BN24" s="348"/>
    </row>
    <row r="25">
      <c r="A25" s="345" t="s">
        <v>184</v>
      </c>
      <c r="B25" s="329" t="s">
        <v>985</v>
      </c>
      <c r="C25" s="150" t="s">
        <v>106</v>
      </c>
      <c r="D25" s="330"/>
      <c r="E25" s="331">
        <v>59.51</v>
      </c>
      <c r="F25" s="332">
        <f t="shared" si="6"/>
        <v>8</v>
      </c>
      <c r="G25" s="333">
        <f t="shared" si="7"/>
        <v>1217</v>
      </c>
      <c r="H25" s="334" t="str">
        <f>IFERROR(__xludf.DUMMYFUNCTION("IFERROR(INDEX(INDEX('Ultimate Breakdown'!BossLookup,0,1),MATCH(INDEX(QUERY(TRANSPOSE({Table2[[#HEADERS],[TEM]:[TOE]];L25:BN25}),""select Col1 where Col2 &gt; 0 order by Col2 desc limit 3"",0),1,1),INDEX('Ultimate Breakdown'!BossLookup,0,2),0)),"""")"),"Yama")</f>
        <v>Yama</v>
      </c>
      <c r="I25" s="334" t="str">
        <f>IFERROR(__xludf.DUMMYFUNCTION("IFERROR(INDEX(INDEX('Ultimate Breakdown'!BossLookup,0,1),MATCH(INDEX(QUERY(TRANSPOSE({$L$3:$BN$3;L25:BN25}),""select Col1 where Col2 &gt; 0 order by Col2 desc limit 3"",0),2,1),INDEX('Ultimate Breakdown'!BossLookup,0,2),0)),"""")"),"Maggot King")</f>
        <v>Maggot King</v>
      </c>
      <c r="J25" s="334" t="str">
        <f>IFERROR(__xludf.DUMMYFUNCTION("IFERROR(INDEX(INDEX('Ultimate Breakdown'!BossLookup,0,1),MATCH(INDEX(QUERY(TRANSPOSE({Table2[[#HEADERS],[TEM]:[TOE]];L25:BN25}),""select Col1 where Col2 &gt; 0 order by Col2 desc limit 3"",0),3,1),INDEX('Ultimate Breakdown'!BossLookup,0,2),0)),"""")"),"Commander Zilyana")</f>
        <v>Commander Zilyana</v>
      </c>
      <c r="K25" s="335"/>
      <c r="L25" s="336"/>
      <c r="M25" s="337"/>
      <c r="N25" s="338"/>
      <c r="O25" s="338"/>
      <c r="P25" s="336"/>
      <c r="Q25" s="338"/>
      <c r="R25" s="338"/>
      <c r="S25" s="338"/>
      <c r="T25" s="338"/>
      <c r="U25" s="338"/>
      <c r="V25" s="336"/>
      <c r="W25" s="346">
        <v>63.0</v>
      </c>
      <c r="X25" s="338"/>
      <c r="Y25" s="338"/>
      <c r="Z25" s="338"/>
      <c r="AA25" s="346">
        <v>100.0</v>
      </c>
      <c r="AB25" s="338"/>
      <c r="AC25" s="338"/>
      <c r="AD25" s="338"/>
      <c r="AE25" s="338"/>
      <c r="AF25" s="340"/>
      <c r="AG25" s="339">
        <v>325.0</v>
      </c>
      <c r="AH25" s="340"/>
      <c r="AI25" s="336"/>
      <c r="AJ25" s="338"/>
      <c r="AK25" s="338"/>
      <c r="AL25" s="338"/>
      <c r="AM25" s="336"/>
      <c r="AN25" s="338"/>
      <c r="AO25" s="338"/>
      <c r="AP25" s="338"/>
      <c r="AQ25" s="346">
        <v>412.0</v>
      </c>
      <c r="AR25" s="340"/>
      <c r="AS25" s="336"/>
      <c r="AT25" s="338"/>
      <c r="AU25" s="338"/>
      <c r="AV25" s="338"/>
      <c r="AW25" s="338"/>
      <c r="AX25" s="338"/>
      <c r="AY25" s="338"/>
      <c r="AZ25" s="338"/>
      <c r="BA25" s="338"/>
      <c r="BB25" s="341"/>
      <c r="BC25" s="341"/>
      <c r="BD25" s="349">
        <v>218.0</v>
      </c>
      <c r="BE25" s="346">
        <v>70.0</v>
      </c>
      <c r="BF25" s="338"/>
      <c r="BG25" s="338"/>
      <c r="BH25" s="338"/>
      <c r="BI25" s="349">
        <v>14.0</v>
      </c>
      <c r="BJ25" s="340"/>
      <c r="BK25" s="338"/>
      <c r="BL25" s="342"/>
      <c r="BM25" s="348"/>
      <c r="BN25" s="351">
        <v>15.0</v>
      </c>
    </row>
    <row r="26">
      <c r="A26" s="328" t="s">
        <v>191</v>
      </c>
      <c r="B26" s="329" t="s">
        <v>985</v>
      </c>
      <c r="C26" s="150" t="s">
        <v>106</v>
      </c>
      <c r="D26" s="330"/>
      <c r="E26" s="331">
        <v>21.96</v>
      </c>
      <c r="F26" s="332">
        <f t="shared" si="6"/>
        <v>16</v>
      </c>
      <c r="G26" s="333">
        <f t="shared" si="7"/>
        <v>1383</v>
      </c>
      <c r="H26" s="334" t="str">
        <f>IFERROR(__xludf.DUMMYFUNCTION("IFERROR(INDEX(INDEX('Ultimate Breakdown'!BossLookup,0,1),MATCH(INDEX(QUERY(TRANSPOSE({Table2[[#HEADERS],[TEM]:[TOE]];L26:BN26}),""select Col1 where Col2 &gt; 0 order by Col2 desc limit 3"",0),1,1),INDEX('Ultimate Breakdown'!BossLookup,0,2),0)),"""")"),"Thermonuclear Smoke Devil")</f>
        <v>Thermonuclear Smoke Devil</v>
      </c>
      <c r="I26" s="334" t="str">
        <f>IFERROR(__xludf.DUMMYFUNCTION("IFERROR(INDEX(INDEX('Ultimate Breakdown'!BossLookup,0,1),MATCH(INDEX(QUERY(TRANSPOSE({$L$3:$BN$3;L26:BN26}),""select Col1 where Col2 &gt; 0 order by Col2 desc limit 3"",0),2,1),INDEX('Ultimate Breakdown'!BossLookup,0,2),0)),"""")"),"Cerberus")</f>
        <v>Cerberus</v>
      </c>
      <c r="J26" s="334" t="str">
        <f>IFERROR(__xludf.DUMMYFUNCTION("IFERROR(INDEX(INDEX('Ultimate Breakdown'!BossLookup,0,1),MATCH(INDEX(QUERY(TRANSPOSE({Table2[[#HEADERS],[TEM]:[TOE]];L26:BN26}),""select Col1 where Col2 &gt; 0 order by Col2 desc limit 3"",0),3,1),INDEX('Ultimate Breakdown'!BossLookup,0,2),0)),"""")"),"Grotesque Guardians")</f>
        <v>Grotesque Guardians</v>
      </c>
      <c r="K26" s="335">
        <v>5.0</v>
      </c>
      <c r="L26" s="336"/>
      <c r="M26" s="350">
        <v>25.0</v>
      </c>
      <c r="N26" s="338"/>
      <c r="O26" s="346">
        <v>9.0</v>
      </c>
      <c r="P26" s="336"/>
      <c r="Q26" s="338"/>
      <c r="R26" s="338"/>
      <c r="S26" s="338"/>
      <c r="T26" s="338"/>
      <c r="U26" s="338"/>
      <c r="V26" s="349">
        <v>69.0</v>
      </c>
      <c r="W26" s="338"/>
      <c r="X26" s="338"/>
      <c r="Y26" s="346">
        <v>3.0</v>
      </c>
      <c r="Z26" s="338"/>
      <c r="AA26" s="338"/>
      <c r="AB26" s="346">
        <v>83.0</v>
      </c>
      <c r="AC26" s="338"/>
      <c r="AD26" s="346">
        <v>12.0</v>
      </c>
      <c r="AE26" s="338"/>
      <c r="AF26" s="339">
        <v>32.0</v>
      </c>
      <c r="AG26" s="340"/>
      <c r="AH26" s="340"/>
      <c r="AI26" s="349">
        <v>86.0</v>
      </c>
      <c r="AJ26" s="338"/>
      <c r="AK26" s="338"/>
      <c r="AL26" s="338"/>
      <c r="AM26" s="336"/>
      <c r="AN26" s="338"/>
      <c r="AO26" s="338"/>
      <c r="AP26" s="346">
        <v>65.0</v>
      </c>
      <c r="AQ26" s="338"/>
      <c r="AR26" s="340"/>
      <c r="AS26" s="336"/>
      <c r="AT26" s="338"/>
      <c r="AU26" s="346">
        <v>70.0</v>
      </c>
      <c r="AV26" s="346">
        <v>185.0</v>
      </c>
      <c r="AW26" s="346">
        <v>1.0</v>
      </c>
      <c r="AX26" s="346">
        <v>10.0</v>
      </c>
      <c r="AY26" s="346">
        <v>5.0</v>
      </c>
      <c r="AZ26" s="346">
        <v>44.0</v>
      </c>
      <c r="BA26" s="346">
        <v>135.0</v>
      </c>
      <c r="BB26" s="341"/>
      <c r="BC26" s="347">
        <v>544.0</v>
      </c>
      <c r="BD26" s="336"/>
      <c r="BE26" s="346">
        <v>5.0</v>
      </c>
      <c r="BF26" s="338"/>
      <c r="BG26" s="338"/>
      <c r="BH26" s="338"/>
      <c r="BI26" s="336"/>
      <c r="BJ26" s="340"/>
      <c r="BK26" s="338"/>
      <c r="BL26" s="342"/>
      <c r="BM26" s="348"/>
      <c r="BN26" s="348"/>
    </row>
    <row r="27">
      <c r="A27" s="345" t="s">
        <v>197</v>
      </c>
      <c r="B27" s="329" t="s">
        <v>985</v>
      </c>
      <c r="C27" s="150" t="s">
        <v>106</v>
      </c>
      <c r="D27" s="330"/>
      <c r="E27" s="331">
        <v>3.63</v>
      </c>
      <c r="F27" s="332">
        <f t="shared" si="6"/>
        <v>4</v>
      </c>
      <c r="G27" s="333">
        <f t="shared" si="7"/>
        <v>164</v>
      </c>
      <c r="H27" s="334" t="str">
        <f>IFERROR(__xludf.DUMMYFUNCTION("IFERROR(INDEX(INDEX('Ultimate Breakdown'!BossLookup,0,1),MATCH(INDEX(QUERY(TRANSPOSE({Table2[[#HEADERS],[TEM]:[TOE]];L27:BN27}),""select Col1 where Col2 &gt; 0 order by Col2 desc limit 3"",0),1,1),INDEX('Ultimate Breakdown'!BossLookup,0,2),0)),"""")"),"Dagannoth Prime")</f>
        <v>Dagannoth Prime</v>
      </c>
      <c r="I27" s="334" t="str">
        <f>IFERROR(__xludf.DUMMYFUNCTION("IFERROR(INDEX(INDEX('Ultimate Breakdown'!BossLookup,0,1),MATCH(INDEX(QUERY(TRANSPOSE({$L$3:$BN$3;L27:BN27}),""select Col1 where Col2 &gt; 0 order by Col2 desc limit 3"",0),2,1),INDEX('Ultimate Breakdown'!BossLookup,0,2),0)),"""")"),"Dagannoth Rex")</f>
        <v>Dagannoth Rex</v>
      </c>
      <c r="J27" s="334" t="str">
        <f>IFERROR(__xludf.DUMMYFUNCTION("IFERROR(INDEX(INDEX('Ultimate Breakdown'!BossLookup,0,1),MATCH(INDEX(QUERY(TRANSPOSE({Table2[[#HEADERS],[TEM]:[TOE]];L27:BN27}),""select Col1 where Col2 &gt; 0 order by Col2 desc limit 3"",0),3,1),INDEX('Ultimate Breakdown'!BossLookup,0,2),0)),"""")"),"Dagannoth Supreme")</f>
        <v>Dagannoth Supreme</v>
      </c>
      <c r="K27" s="335"/>
      <c r="L27" s="336"/>
      <c r="M27" s="337"/>
      <c r="N27" s="338"/>
      <c r="O27" s="338"/>
      <c r="P27" s="336"/>
      <c r="Q27" s="338"/>
      <c r="R27" s="338"/>
      <c r="S27" s="338"/>
      <c r="T27" s="338"/>
      <c r="U27" s="338"/>
      <c r="V27" s="336"/>
      <c r="W27" s="338"/>
      <c r="X27" s="338"/>
      <c r="Y27" s="346">
        <v>2.0</v>
      </c>
      <c r="Z27" s="338"/>
      <c r="AA27" s="338"/>
      <c r="AB27" s="338"/>
      <c r="AC27" s="338"/>
      <c r="AD27" s="338"/>
      <c r="AE27" s="338"/>
      <c r="AF27" s="340"/>
      <c r="AG27" s="340"/>
      <c r="AH27" s="339">
        <v>2.0</v>
      </c>
      <c r="AI27" s="336"/>
      <c r="AJ27" s="338"/>
      <c r="AK27" s="338"/>
      <c r="AL27" s="338"/>
      <c r="AM27" s="336"/>
      <c r="AN27" s="338"/>
      <c r="AO27" s="338"/>
      <c r="AP27" s="338"/>
      <c r="AQ27" s="346">
        <v>11.0</v>
      </c>
      <c r="AR27" s="340"/>
      <c r="AS27" s="336"/>
      <c r="AT27" s="338"/>
      <c r="AU27" s="338"/>
      <c r="AV27" s="338"/>
      <c r="AW27" s="346">
        <v>49.0</v>
      </c>
      <c r="AX27" s="346">
        <v>49.0</v>
      </c>
      <c r="AY27" s="346">
        <v>49.0</v>
      </c>
      <c r="AZ27" s="338"/>
      <c r="BA27" s="338"/>
      <c r="BB27" s="341"/>
      <c r="BC27" s="341"/>
      <c r="BD27" s="336"/>
      <c r="BE27" s="338"/>
      <c r="BF27" s="338"/>
      <c r="BG27" s="338"/>
      <c r="BH27" s="338"/>
      <c r="BI27" s="349">
        <v>1.0</v>
      </c>
      <c r="BJ27" s="340"/>
      <c r="BK27" s="346">
        <v>1.0</v>
      </c>
      <c r="BL27" s="342"/>
      <c r="BM27" s="348"/>
      <c r="BN27" s="348"/>
    </row>
    <row r="28">
      <c r="A28" s="328" t="s">
        <v>202</v>
      </c>
      <c r="B28" s="329" t="s">
        <v>985</v>
      </c>
      <c r="C28" s="150" t="s">
        <v>106</v>
      </c>
      <c r="D28" s="330"/>
      <c r="E28" s="331">
        <v>9.47</v>
      </c>
      <c r="F28" s="332">
        <f t="shared" si="6"/>
        <v>8</v>
      </c>
      <c r="G28" s="333">
        <f t="shared" si="7"/>
        <v>476</v>
      </c>
      <c r="H28" s="334" t="str">
        <f>IFERROR(__xludf.DUMMYFUNCTION("IFERROR(INDEX(INDEX('Ultimate Breakdown'!BossLookup,0,1),MATCH(INDEX(QUERY(TRANSPOSE({Table2[[#HEADERS],[TEM]:[TOE]];L28:BN28}),""select Col1 where Col2 &gt; 0 order by Col2 desc limit 3"",0),1,1),INDEX('Ultimate Breakdown'!BossLookup,0,2),0)),"""")"),"Cerberus")</f>
        <v>Cerberus</v>
      </c>
      <c r="I28" s="334" t="str">
        <f>IFERROR(__xludf.DUMMYFUNCTION("IFERROR(INDEX(INDEX('Ultimate Breakdown'!BossLookup,0,1),MATCH(INDEX(QUERY(TRANSPOSE({$L$3:$BN$3;L28:BN28}),""select Col1 where Col2 &gt; 0 order by Col2 desc limit 3"",0),2,1),INDEX('Ultimate Breakdown'!BossLookup,0,2),0)),"""")"),"Zulrah")</f>
        <v>Zulrah</v>
      </c>
      <c r="J28" s="334" t="str">
        <f>IFERROR(__xludf.DUMMYFUNCTION("IFERROR(INDEX(INDEX('Ultimate Breakdown'!BossLookup,0,1),MATCH(INDEX(QUERY(TRANSPOSE({Table2[[#HEADERS],[TEM]:[TOE]];L28:BN28}),""select Col1 where Col2 &gt; 0 order by Col2 desc limit 3"",0),3,1),INDEX('Ultimate Breakdown'!BossLookup,0,2),0)),"""")"),"Royal Titans")</f>
        <v>Royal Titans</v>
      </c>
      <c r="K28" s="335">
        <v>5.0</v>
      </c>
      <c r="L28" s="336"/>
      <c r="M28" s="337"/>
      <c r="N28" s="346">
        <v>6.0</v>
      </c>
      <c r="O28" s="346">
        <v>1.0</v>
      </c>
      <c r="P28" s="336"/>
      <c r="Q28" s="338"/>
      <c r="R28" s="338"/>
      <c r="S28" s="338"/>
      <c r="T28" s="338"/>
      <c r="U28" s="338"/>
      <c r="V28" s="336"/>
      <c r="W28" s="338"/>
      <c r="X28" s="338"/>
      <c r="Y28" s="338"/>
      <c r="Z28" s="338"/>
      <c r="AA28" s="338"/>
      <c r="AB28" s="338"/>
      <c r="AC28" s="346">
        <v>2.0</v>
      </c>
      <c r="AD28" s="338"/>
      <c r="AE28" s="346">
        <v>140.0</v>
      </c>
      <c r="AF28" s="339">
        <v>1.0</v>
      </c>
      <c r="AG28" s="340"/>
      <c r="AH28" s="340"/>
      <c r="AI28" s="336"/>
      <c r="AJ28" s="338"/>
      <c r="AK28" s="338"/>
      <c r="AL28" s="338"/>
      <c r="AM28" s="349">
        <v>7.0</v>
      </c>
      <c r="AN28" s="338"/>
      <c r="AO28" s="346">
        <v>2.0</v>
      </c>
      <c r="AP28" s="346">
        <v>76.0</v>
      </c>
      <c r="AQ28" s="346">
        <v>11.0</v>
      </c>
      <c r="AR28" s="340"/>
      <c r="AS28" s="349">
        <v>5.0</v>
      </c>
      <c r="AT28" s="338"/>
      <c r="AU28" s="338"/>
      <c r="AV28" s="346">
        <v>180.0</v>
      </c>
      <c r="AW28" s="338"/>
      <c r="AX28" s="338"/>
      <c r="AY28" s="338"/>
      <c r="AZ28" s="338"/>
      <c r="BA28" s="338"/>
      <c r="BB28" s="341"/>
      <c r="BC28" s="341"/>
      <c r="BD28" s="336"/>
      <c r="BE28" s="338"/>
      <c r="BF28" s="346">
        <v>45.0</v>
      </c>
      <c r="BG28" s="338"/>
      <c r="BH28" s="338"/>
      <c r="BI28" s="336"/>
      <c r="BJ28" s="340"/>
      <c r="BK28" s="338"/>
      <c r="BL28" s="342"/>
      <c r="BM28" s="348"/>
      <c r="BN28" s="348"/>
    </row>
    <row r="29">
      <c r="A29" s="345" t="s">
        <v>206</v>
      </c>
      <c r="B29" s="329" t="s">
        <v>985</v>
      </c>
      <c r="C29" s="150" t="s">
        <v>106</v>
      </c>
      <c r="D29" s="330"/>
      <c r="E29" s="331">
        <v>0.0</v>
      </c>
      <c r="F29" s="332">
        <f t="shared" si="6"/>
        <v>3</v>
      </c>
      <c r="G29" s="333">
        <f t="shared" si="7"/>
        <v>419</v>
      </c>
      <c r="H29" s="334" t="str">
        <f>IFERROR(__xludf.DUMMYFUNCTION("IFERROR(INDEX(INDEX('Ultimate Breakdown'!BossLookup,0,1),MATCH(INDEX(QUERY(TRANSPOSE({Table2[[#HEADERS],[TEM]:[TOE]];L29:BN29}),""select Col1 where Col2 &gt; 0 order by Col2 desc limit 3"",0),1,1),INDEX('Ultimate Breakdown'!BossLookup,0,2),0)),"""")"),"Tempoross")</f>
        <v>Tempoross</v>
      </c>
      <c r="I29" s="334" t="str">
        <f>IFERROR(__xludf.DUMMYFUNCTION("IFERROR(INDEX(INDEX('Ultimate Breakdown'!BossLookup,0,1),MATCH(INDEX(QUERY(TRANSPOSE({$L$3:$BN$3;L29:BN29}),""select Col1 where Col2 &gt; 0 order by Col2 desc limit 3"",0),2,1),INDEX('Ultimate Breakdown'!BossLookup,0,2),0)),"""")"),"Guardians of the Rift")</f>
        <v>Guardians of the Rift</v>
      </c>
      <c r="J29" s="334" t="str">
        <f>IFERROR(__xludf.DUMMYFUNCTION("IFERROR(INDEX(INDEX('Ultimate Breakdown'!BossLookup,0,1),MATCH(INDEX(QUERY(TRANSPOSE({Table2[[#HEADERS],[TEM]:[TOE]];L29:BN29}),""select Col1 where Col2 &gt; 0 order by Col2 desc limit 3"",0),3,1),INDEX('Ultimate Breakdown'!BossLookup,0,2),0)),"""")"),"Wintertodt")</f>
        <v>Wintertodt</v>
      </c>
      <c r="K29" s="335">
        <v>2.0</v>
      </c>
      <c r="L29" s="349">
        <v>352.0</v>
      </c>
      <c r="M29" s="350">
        <v>35.0</v>
      </c>
      <c r="N29" s="338"/>
      <c r="O29" s="346">
        <v>32.0</v>
      </c>
      <c r="P29" s="336"/>
      <c r="Q29" s="338"/>
      <c r="R29" s="338"/>
      <c r="S29" s="338"/>
      <c r="T29" s="338"/>
      <c r="U29" s="338"/>
      <c r="V29" s="336"/>
      <c r="W29" s="338"/>
      <c r="X29" s="338"/>
      <c r="Y29" s="338"/>
      <c r="Z29" s="338"/>
      <c r="AA29" s="338"/>
      <c r="AB29" s="338"/>
      <c r="AC29" s="338"/>
      <c r="AD29" s="338"/>
      <c r="AE29" s="338"/>
      <c r="AF29" s="340"/>
      <c r="AG29" s="340"/>
      <c r="AH29" s="340"/>
      <c r="AI29" s="336"/>
      <c r="AJ29" s="338"/>
      <c r="AK29" s="338"/>
      <c r="AL29" s="338"/>
      <c r="AM29" s="336"/>
      <c r="AN29" s="338"/>
      <c r="AO29" s="338"/>
      <c r="AP29" s="338"/>
      <c r="AQ29" s="338"/>
      <c r="AR29" s="340"/>
      <c r="AS29" s="336"/>
      <c r="AT29" s="338"/>
      <c r="AU29" s="338"/>
      <c r="AV29" s="338"/>
      <c r="AW29" s="338"/>
      <c r="AX29" s="338"/>
      <c r="AY29" s="338"/>
      <c r="AZ29" s="338"/>
      <c r="BA29" s="338"/>
      <c r="BB29" s="341"/>
      <c r="BC29" s="341"/>
      <c r="BD29" s="336"/>
      <c r="BE29" s="338"/>
      <c r="BF29" s="338"/>
      <c r="BG29" s="338"/>
      <c r="BH29" s="338"/>
      <c r="BI29" s="336"/>
      <c r="BJ29" s="340"/>
      <c r="BK29" s="338"/>
      <c r="BL29" s="342"/>
      <c r="BM29" s="348"/>
      <c r="BN29" s="348"/>
    </row>
    <row r="30">
      <c r="A30" s="328" t="s">
        <v>210</v>
      </c>
      <c r="B30" s="329" t="s">
        <v>985</v>
      </c>
      <c r="C30" s="150" t="s">
        <v>106</v>
      </c>
      <c r="D30" s="330"/>
      <c r="E30" s="331">
        <v>29.07</v>
      </c>
      <c r="F30" s="332">
        <f t="shared" si="6"/>
        <v>11</v>
      </c>
      <c r="G30" s="333">
        <f t="shared" si="7"/>
        <v>336</v>
      </c>
      <c r="H30" s="334" t="str">
        <f>IFERROR(__xludf.DUMMYFUNCTION("IFERROR(INDEX(INDEX('Ultimate Breakdown'!BossLookup,0,1),MATCH(INDEX(QUERY(TRANSPOSE({Table2[[#HEADERS],[TEM]:[TOE]];L30:BN30}),""select Col1 where Col2 &gt; 0 order by Col2 desc limit 3"",0),1,1),INDEX('Ultimate Breakdown'!BossLookup,0,2),0)),"""")"),"Araxxor")</f>
        <v>Araxxor</v>
      </c>
      <c r="I30" s="334" t="str">
        <f>IFERROR(__xludf.DUMMYFUNCTION("IFERROR(INDEX(INDEX('Ultimate Breakdown'!BossLookup,0,1),MATCH(INDEX(QUERY(TRANSPOSE({$L$3:$BN$3;L30:BN30}),""select Col1 where Col2 &gt; 0 order by Col2 desc limit 3"",0),2,1),INDEX('Ultimate Breakdown'!BossLookup,0,2),0)),"""")"),"Chambers of Xeric")</f>
        <v>Chambers of Xeric</v>
      </c>
      <c r="J30" s="334" t="str">
        <f>IFERROR(__xludf.DUMMYFUNCTION("IFERROR(INDEX(INDEX('Ultimate Breakdown'!BossLookup,0,1),MATCH(INDEX(QUERY(TRANSPOSE({Table2[[#HEADERS],[TEM]:[TOE]];L30:BN30}),""select Col1 where Col2 &gt; 0 order by Col2 desc limit 3"",0),3,1),INDEX('Ultimate Breakdown'!BossLookup,0,2),0)),"""")"),"Moons of Peril")</f>
        <v>Moons of Peril</v>
      </c>
      <c r="K30" s="335"/>
      <c r="L30" s="336"/>
      <c r="M30" s="350">
        <v>10.0</v>
      </c>
      <c r="N30" s="338"/>
      <c r="O30" s="338"/>
      <c r="P30" s="336"/>
      <c r="Q30" s="338"/>
      <c r="R30" s="338"/>
      <c r="S30" s="338"/>
      <c r="T30" s="338"/>
      <c r="U30" s="338"/>
      <c r="V30" s="336"/>
      <c r="W30" s="338"/>
      <c r="X30" s="338"/>
      <c r="Y30" s="338"/>
      <c r="Z30" s="346">
        <v>25.0</v>
      </c>
      <c r="AA30" s="338"/>
      <c r="AB30" s="338"/>
      <c r="AC30" s="338"/>
      <c r="AD30" s="338"/>
      <c r="AE30" s="346">
        <v>2.0</v>
      </c>
      <c r="AF30" s="340"/>
      <c r="AG30" s="340"/>
      <c r="AH30" s="340"/>
      <c r="AI30" s="336"/>
      <c r="AJ30" s="338"/>
      <c r="AK30" s="346">
        <v>5.0</v>
      </c>
      <c r="AL30" s="338"/>
      <c r="AM30" s="349">
        <v>19.0</v>
      </c>
      <c r="AN30" s="338"/>
      <c r="AO30" s="338"/>
      <c r="AP30" s="346">
        <v>17.0</v>
      </c>
      <c r="AQ30" s="346">
        <v>23.0</v>
      </c>
      <c r="AR30" s="340"/>
      <c r="AS30" s="336"/>
      <c r="AT30" s="338"/>
      <c r="AU30" s="346">
        <v>164.0</v>
      </c>
      <c r="AV30" s="338"/>
      <c r="AW30" s="338"/>
      <c r="AX30" s="338"/>
      <c r="AY30" s="338"/>
      <c r="AZ30" s="338"/>
      <c r="BA30" s="338"/>
      <c r="BB30" s="341"/>
      <c r="BC30" s="341"/>
      <c r="BD30" s="336"/>
      <c r="BE30" s="338"/>
      <c r="BF30" s="338"/>
      <c r="BG30" s="338"/>
      <c r="BH30" s="338"/>
      <c r="BI30" s="349">
        <v>29.0</v>
      </c>
      <c r="BJ30" s="339">
        <v>2.0</v>
      </c>
      <c r="BK30" s="346">
        <v>8.0</v>
      </c>
      <c r="BL30" s="342"/>
      <c r="BM30" s="351">
        <v>20.0</v>
      </c>
      <c r="BN30" s="351">
        <v>12.0</v>
      </c>
    </row>
    <row r="31">
      <c r="A31" s="345" t="s">
        <v>213</v>
      </c>
      <c r="B31" s="329" t="s">
        <v>985</v>
      </c>
      <c r="C31" s="150" t="s">
        <v>106</v>
      </c>
      <c r="D31" s="330"/>
      <c r="E31" s="331">
        <v>2.03</v>
      </c>
      <c r="F31" s="332">
        <f t="shared" si="6"/>
        <v>2</v>
      </c>
      <c r="G31" s="333">
        <f t="shared" si="7"/>
        <v>49</v>
      </c>
      <c r="H31" s="334" t="str">
        <f>IFERROR(__xludf.DUMMYFUNCTION("IFERROR(INDEX(INDEX('Ultimate Breakdown'!BossLookup,0,1),MATCH(INDEX(QUERY(TRANSPOSE({Table2[[#HEADERS],[TEM]:[TOE]];L31:BN31}),""select Col1 where Col2 &gt; 0 order by Col2 desc limit 3"",0),1,1),INDEX('Ultimate Breakdown'!BossLookup,0,2),0)),"""")"),"Yama")</f>
        <v>Yama</v>
      </c>
      <c r="I31" s="334" t="str">
        <f>IFERROR(__xludf.DUMMYFUNCTION("IFERROR(INDEX(INDEX('Ultimate Breakdown'!BossLookup,0,1),MATCH(INDEX(QUERY(TRANSPOSE({$L$3:$BN$3;L31:BN31}),""select Col1 where Col2 &gt; 0 order by Col2 desc limit 3"",0),2,1),INDEX('Ultimate Breakdown'!BossLookup,0,2),0)),"""")"),"Scurrius")</f>
        <v>Scurrius</v>
      </c>
      <c r="J31" s="334" t="str">
        <f>IFERROR(__xludf.DUMMYFUNCTION("IFERROR(INDEX(INDEX('Ultimate Breakdown'!BossLookup,0,1),MATCH(INDEX(QUERY(TRANSPOSE({Table2[[#HEADERS],[TEM]:[TOE]];L31:BN31}),""select Col1 where Col2 &gt; 0 order by Col2 desc limit 3"",0),3,1),INDEX('Ultimate Breakdown'!BossLookup,0,2),0)),"""")"),"Zalcano")</f>
        <v>Zalcano</v>
      </c>
      <c r="K31" s="335"/>
      <c r="L31" s="336"/>
      <c r="M31" s="337"/>
      <c r="N31" s="346">
        <v>3.0</v>
      </c>
      <c r="O31" s="338"/>
      <c r="P31" s="336"/>
      <c r="Q31" s="338"/>
      <c r="R31" s="338"/>
      <c r="S31" s="338"/>
      <c r="T31" s="338"/>
      <c r="U31" s="338"/>
      <c r="V31" s="336"/>
      <c r="W31" s="338"/>
      <c r="X31" s="338"/>
      <c r="Y31" s="338"/>
      <c r="Z31" s="338"/>
      <c r="AA31" s="338"/>
      <c r="AB31" s="346">
        <v>12.0</v>
      </c>
      <c r="AC31" s="338"/>
      <c r="AD31" s="338"/>
      <c r="AE31" s="346">
        <v>1.0</v>
      </c>
      <c r="AF31" s="340"/>
      <c r="AG31" s="340"/>
      <c r="AH31" s="340"/>
      <c r="AI31" s="336"/>
      <c r="AJ31" s="338"/>
      <c r="AK31" s="338"/>
      <c r="AL31" s="338"/>
      <c r="AM31" s="336"/>
      <c r="AN31" s="338"/>
      <c r="AO31" s="338"/>
      <c r="AP31" s="338"/>
      <c r="AQ31" s="346">
        <v>33.0</v>
      </c>
      <c r="AR31" s="340"/>
      <c r="AS31" s="336"/>
      <c r="AT31" s="338"/>
      <c r="AU31" s="338"/>
      <c r="AV31" s="338"/>
      <c r="AW31" s="338"/>
      <c r="AX31" s="338"/>
      <c r="AY31" s="338"/>
      <c r="AZ31" s="338"/>
      <c r="BA31" s="338"/>
      <c r="BB31" s="341"/>
      <c r="BC31" s="341"/>
      <c r="BD31" s="336"/>
      <c r="BE31" s="338"/>
      <c r="BF31" s="338"/>
      <c r="BG31" s="338"/>
      <c r="BH31" s="338"/>
      <c r="BI31" s="336"/>
      <c r="BJ31" s="340"/>
      <c r="BK31" s="338"/>
      <c r="BL31" s="342"/>
      <c r="BM31" s="348"/>
      <c r="BN31" s="348"/>
    </row>
    <row r="32">
      <c r="A32" s="328" t="s">
        <v>214</v>
      </c>
      <c r="B32" s="329" t="s">
        <v>985</v>
      </c>
      <c r="C32" s="150" t="s">
        <v>106</v>
      </c>
      <c r="D32" s="330"/>
      <c r="E32" s="331">
        <v>18.7</v>
      </c>
      <c r="F32" s="332">
        <f t="shared" si="6"/>
        <v>16</v>
      </c>
      <c r="G32" s="333">
        <f t="shared" si="7"/>
        <v>871</v>
      </c>
      <c r="H32" s="334" t="str">
        <f>IFERROR(__xludf.DUMMYFUNCTION("IFERROR(INDEX(INDEX('Ultimate Breakdown'!BossLookup,0,1),MATCH(INDEX(QUERY(TRANSPOSE({Table2[[#HEADERS],[TEM]:[TOE]];L32:BN32}),""select Col1 where Col2 &gt; 0 order by Col2 desc limit 3"",0),1,1),INDEX('Ultimate Breakdown'!BossLookup,0,2),0)),"""")"),"Muspah")</f>
        <v>Muspah</v>
      </c>
      <c r="I32" s="334" t="str">
        <f>IFERROR(__xludf.DUMMYFUNCTION("IFERROR(INDEX(INDEX('Ultimate Breakdown'!BossLookup,0,1),MATCH(INDEX(QUERY(TRANSPOSE({$L$3:$BN$3;L32:BN32}),""select Col1 where Col2 &gt; 0 order by Col2 desc limit 3"",0),2,1),INDEX('Ultimate Breakdown'!BossLookup,0,2),0)),"""")"),"Dagannoth Prime")</f>
        <v>Dagannoth Prime</v>
      </c>
      <c r="J32" s="334" t="str">
        <f>IFERROR(__xludf.DUMMYFUNCTION("IFERROR(INDEX(INDEX('Ultimate Breakdown'!BossLookup,0,1),MATCH(INDEX(QUERY(TRANSPOSE({Table2[[#HEADERS],[TEM]:[TOE]];L32:BN32}),""select Col1 where Col2 &gt; 0 order by Col2 desc limit 3"",0),3,1),INDEX('Ultimate Breakdown'!BossLookup,0,2),0)),"""")"),"Dagannoth Supreme")</f>
        <v>Dagannoth Supreme</v>
      </c>
      <c r="K32" s="335">
        <v>1.0</v>
      </c>
      <c r="L32" s="336"/>
      <c r="M32" s="337"/>
      <c r="N32" s="346">
        <v>13.0</v>
      </c>
      <c r="O32" s="338"/>
      <c r="P32" s="336"/>
      <c r="Q32" s="338"/>
      <c r="R32" s="346">
        <v>5.0</v>
      </c>
      <c r="S32" s="338"/>
      <c r="T32" s="338"/>
      <c r="U32" s="338"/>
      <c r="V32" s="336"/>
      <c r="W32" s="338"/>
      <c r="X32" s="338"/>
      <c r="Y32" s="346">
        <v>13.0</v>
      </c>
      <c r="Z32" s="338"/>
      <c r="AA32" s="346">
        <v>148.0</v>
      </c>
      <c r="AB32" s="346">
        <v>82.0</v>
      </c>
      <c r="AC32" s="338"/>
      <c r="AD32" s="346">
        <v>35.0</v>
      </c>
      <c r="AE32" s="346">
        <v>10.0</v>
      </c>
      <c r="AF32" s="340"/>
      <c r="AG32" s="340"/>
      <c r="AH32" s="340"/>
      <c r="AI32" s="349">
        <v>12.0</v>
      </c>
      <c r="AJ32" s="338"/>
      <c r="AK32" s="346">
        <v>111.0</v>
      </c>
      <c r="AL32" s="338"/>
      <c r="AM32" s="349">
        <v>12.0</v>
      </c>
      <c r="AN32" s="338"/>
      <c r="AO32" s="338"/>
      <c r="AP32" s="338"/>
      <c r="AQ32" s="346">
        <v>13.0</v>
      </c>
      <c r="AR32" s="340"/>
      <c r="AS32" s="336"/>
      <c r="AT32" s="338"/>
      <c r="AU32" s="338"/>
      <c r="AV32" s="338"/>
      <c r="AW32" s="346">
        <v>119.0</v>
      </c>
      <c r="AX32" s="346">
        <v>108.0</v>
      </c>
      <c r="AY32" s="346">
        <v>117.0</v>
      </c>
      <c r="AZ32" s="338"/>
      <c r="BA32" s="346">
        <v>36.0</v>
      </c>
      <c r="BB32" s="341"/>
      <c r="BC32" s="341"/>
      <c r="BD32" s="336"/>
      <c r="BE32" s="346">
        <v>37.0</v>
      </c>
      <c r="BF32" s="338"/>
      <c r="BG32" s="338"/>
      <c r="BH32" s="338"/>
      <c r="BI32" s="336"/>
      <c r="BJ32" s="340"/>
      <c r="BK32" s="338"/>
      <c r="BL32" s="342"/>
      <c r="BM32" s="348"/>
      <c r="BN32" s="348"/>
    </row>
    <row r="33">
      <c r="A33" s="345" t="s">
        <v>220</v>
      </c>
      <c r="B33" s="329" t="s">
        <v>985</v>
      </c>
      <c r="C33" s="150" t="s">
        <v>106</v>
      </c>
      <c r="D33" s="330"/>
      <c r="E33" s="331">
        <v>8.22</v>
      </c>
      <c r="F33" s="332">
        <f t="shared" si="6"/>
        <v>4</v>
      </c>
      <c r="G33" s="333">
        <f t="shared" si="7"/>
        <v>334</v>
      </c>
      <c r="H33" s="334" t="str">
        <f>IFERROR(__xludf.DUMMYFUNCTION("IFERROR(INDEX(INDEX('Ultimate Breakdown'!BossLookup,0,1),MATCH(INDEX(QUERY(TRANSPOSE({Table2[[#HEADERS],[TEM]:[TOE]];L33:BN33}),""select Col1 where Col2 &gt; 0 order by Col2 desc limit 3"",0),1,1),INDEX('Ultimate Breakdown'!BossLookup,0,2),0)),"""")"),"Zulrah")</f>
        <v>Zulrah</v>
      </c>
      <c r="I33" s="334" t="str">
        <f>IFERROR(__xludf.DUMMYFUNCTION("IFERROR(INDEX(INDEX('Ultimate Breakdown'!BossLookup,0,1),MATCH(INDEX(QUERY(TRANSPOSE({$L$3:$BN$3;L33:BN33}),""select Col1 where Col2 &gt; 0 order by Col2 desc limit 3"",0),2,1),INDEX('Ultimate Breakdown'!BossLookup,0,2),0)),"""")"),"Muspah")</f>
        <v>Muspah</v>
      </c>
      <c r="J33" s="334" t="str">
        <f>IFERROR(__xludf.DUMMYFUNCTION("IFERROR(INDEX(INDEX('Ultimate Breakdown'!BossLookup,0,1),MATCH(INDEX(QUERY(TRANSPOSE({Table2[[#HEADERS],[TEM]:[TOE]];L33:BN33}),""select Col1 where Col2 &gt; 0 order by Col2 desc limit 3"",0),3,1),INDEX('Ultimate Breakdown'!BossLookup,0,2),0)),"""")"),"Vorkath")</f>
        <v>Vorkath</v>
      </c>
      <c r="K33" s="335"/>
      <c r="L33" s="336"/>
      <c r="M33" s="337"/>
      <c r="N33" s="338"/>
      <c r="O33" s="338"/>
      <c r="P33" s="336"/>
      <c r="Q33" s="338"/>
      <c r="R33" s="338"/>
      <c r="S33" s="338"/>
      <c r="T33" s="338"/>
      <c r="U33" s="338"/>
      <c r="V33" s="336"/>
      <c r="W33" s="338"/>
      <c r="X33" s="338"/>
      <c r="Y33" s="338"/>
      <c r="Z33" s="338"/>
      <c r="AA33" s="346">
        <v>15.0</v>
      </c>
      <c r="AB33" s="338"/>
      <c r="AC33" s="338"/>
      <c r="AD33" s="346">
        <v>13.0</v>
      </c>
      <c r="AE33" s="346">
        <v>299.0</v>
      </c>
      <c r="AF33" s="339">
        <v>1.0</v>
      </c>
      <c r="AG33" s="340"/>
      <c r="AH33" s="340"/>
      <c r="AI33" s="336"/>
      <c r="AJ33" s="338"/>
      <c r="AK33" s="338"/>
      <c r="AL33" s="338"/>
      <c r="AM33" s="336"/>
      <c r="AN33" s="338"/>
      <c r="AO33" s="338"/>
      <c r="AP33" s="346">
        <v>6.0</v>
      </c>
      <c r="AQ33" s="338"/>
      <c r="AR33" s="340"/>
      <c r="AS33" s="336"/>
      <c r="AT33" s="338"/>
      <c r="AU33" s="338"/>
      <c r="AV33" s="338"/>
      <c r="AW33" s="338"/>
      <c r="AX33" s="338"/>
      <c r="AY33" s="338"/>
      <c r="AZ33" s="338"/>
      <c r="BA33" s="338"/>
      <c r="BB33" s="341"/>
      <c r="BC33" s="341"/>
      <c r="BD33" s="336"/>
      <c r="BE33" s="338"/>
      <c r="BF33" s="338"/>
      <c r="BG33" s="338"/>
      <c r="BH33" s="338"/>
      <c r="BI33" s="336"/>
      <c r="BJ33" s="340"/>
      <c r="BK33" s="338"/>
      <c r="BL33" s="342"/>
      <c r="BM33" s="348"/>
      <c r="BN33" s="348"/>
    </row>
    <row r="34">
      <c r="A34" s="328" t="s">
        <v>224</v>
      </c>
      <c r="B34" s="329" t="s">
        <v>985</v>
      </c>
      <c r="C34" s="150" t="s">
        <v>106</v>
      </c>
      <c r="D34" s="330"/>
      <c r="E34" s="331">
        <v>17.41</v>
      </c>
      <c r="F34" s="332">
        <f t="shared" si="6"/>
        <v>12</v>
      </c>
      <c r="G34" s="333">
        <f t="shared" si="7"/>
        <v>407</v>
      </c>
      <c r="H34" s="334" t="str">
        <f>IFERROR(__xludf.DUMMYFUNCTION("IFERROR(INDEX(INDEX('Ultimate Breakdown'!BossLookup,0,1),MATCH(INDEX(QUERY(TRANSPOSE({Table2[[#HEADERS],[TEM]:[TOE]];L34:BN34}),""select Col1 where Col2 &gt; 0 order by Col2 desc limit 3"",0),1,1),INDEX('Ultimate Breakdown'!BossLookup,0,2),0)),"""")"),"Zulrah")</f>
        <v>Zulrah</v>
      </c>
      <c r="I34" s="334" t="str">
        <f>IFERROR(__xludf.DUMMYFUNCTION("IFERROR(INDEX(INDEX('Ultimate Breakdown'!BossLookup,0,1),MATCH(INDEX(QUERY(TRANSPOSE({$L$3:$BN$3;L34:BN34}),""select Col1 where Col2 &gt; 0 order by Col2 desc limit 3"",0),2,1),INDEX('Ultimate Breakdown'!BossLookup,0,2),0)),"""")"),"Scurrius")</f>
        <v>Scurrius</v>
      </c>
      <c r="J34" s="334" t="str">
        <f>IFERROR(__xludf.DUMMYFUNCTION("IFERROR(INDEX(INDEX('Ultimate Breakdown'!BossLookup,0,1),MATCH(INDEX(QUERY(TRANSPOSE({Table2[[#HEADERS],[TEM]:[TOE]];L34:BN34}),""select Col1 where Col2 &gt; 0 order by Col2 desc limit 3"",0),3,1),INDEX('Ultimate Breakdown'!BossLookup,0,2),0)),"""")"),"Vorkath")</f>
        <v>Vorkath</v>
      </c>
      <c r="K34" s="335">
        <v>4.0</v>
      </c>
      <c r="L34" s="336"/>
      <c r="M34" s="337"/>
      <c r="N34" s="346">
        <v>11.0</v>
      </c>
      <c r="O34" s="346">
        <v>14.0</v>
      </c>
      <c r="P34" s="336"/>
      <c r="Q34" s="338"/>
      <c r="R34" s="338"/>
      <c r="S34" s="338"/>
      <c r="T34" s="338"/>
      <c r="U34" s="338"/>
      <c r="V34" s="336"/>
      <c r="W34" s="338"/>
      <c r="X34" s="346">
        <v>27.0</v>
      </c>
      <c r="Y34" s="346">
        <v>22.0</v>
      </c>
      <c r="Z34" s="346">
        <v>7.0</v>
      </c>
      <c r="AA34" s="338"/>
      <c r="AB34" s="346">
        <v>70.0</v>
      </c>
      <c r="AC34" s="346">
        <v>1.0</v>
      </c>
      <c r="AD34" s="346">
        <v>38.0</v>
      </c>
      <c r="AE34" s="346">
        <v>134.0</v>
      </c>
      <c r="AF34" s="339">
        <v>26.0</v>
      </c>
      <c r="AG34" s="340"/>
      <c r="AH34" s="340"/>
      <c r="AI34" s="336"/>
      <c r="AJ34" s="338"/>
      <c r="AK34" s="338"/>
      <c r="AL34" s="338"/>
      <c r="AM34" s="349">
        <v>26.0</v>
      </c>
      <c r="AN34" s="338"/>
      <c r="AO34" s="338"/>
      <c r="AP34" s="346">
        <v>16.0</v>
      </c>
      <c r="AQ34" s="338"/>
      <c r="AR34" s="340"/>
      <c r="AS34" s="336"/>
      <c r="AT34" s="338"/>
      <c r="AU34" s="338"/>
      <c r="AV34" s="338"/>
      <c r="AW34" s="338"/>
      <c r="AX34" s="338"/>
      <c r="AY34" s="338"/>
      <c r="AZ34" s="338"/>
      <c r="BA34" s="338"/>
      <c r="BB34" s="341"/>
      <c r="BC34" s="341"/>
      <c r="BD34" s="336"/>
      <c r="BE34" s="338"/>
      <c r="BF34" s="338"/>
      <c r="BG34" s="338"/>
      <c r="BH34" s="338"/>
      <c r="BI34" s="336"/>
      <c r="BJ34" s="340"/>
      <c r="BK34" s="338"/>
      <c r="BL34" s="342"/>
      <c r="BM34" s="351">
        <v>14.0</v>
      </c>
      <c r="BN34" s="351">
        <v>1.0</v>
      </c>
    </row>
    <row r="35">
      <c r="A35" s="345" t="s">
        <v>226</v>
      </c>
      <c r="B35" s="329" t="s">
        <v>985</v>
      </c>
      <c r="C35" s="150" t="s">
        <v>106</v>
      </c>
      <c r="D35" s="330"/>
      <c r="E35" s="331">
        <v>14.05</v>
      </c>
      <c r="F35" s="332">
        <f t="shared" si="6"/>
        <v>10</v>
      </c>
      <c r="G35" s="333">
        <f t="shared" si="7"/>
        <v>592</v>
      </c>
      <c r="H35" s="334" t="str">
        <f>IFERROR(__xludf.DUMMYFUNCTION("IFERROR(INDEX(INDEX('Ultimate Breakdown'!BossLookup,0,1),MATCH(INDEX(QUERY(TRANSPOSE({Table2[[#HEADERS],[TEM]:[TOE]];L35:BN35}),""select Col1 where Col2 &gt; 0 order by Col2 desc limit 3"",0),1,1),INDEX('Ultimate Breakdown'!BossLookup,0,2),0)),"""")"),"Grotesque Guardians")</f>
        <v>Grotesque Guardians</v>
      </c>
      <c r="I35" s="334" t="str">
        <f>IFERROR(__xludf.DUMMYFUNCTION("IFERROR(INDEX(INDEX('Ultimate Breakdown'!BossLookup,0,1),MATCH(INDEX(QUERY(TRANSPOSE({$L$3:$BN$3;L35:BN35}),""select Col1 where Col2 &gt; 0 order by Col2 desc limit 3"",0),2,1),INDEX('Ultimate Breakdown'!BossLookup,0,2),0)),"""")"),"Mad Angel")</f>
        <v>Mad Angel</v>
      </c>
      <c r="J35" s="334" t="str">
        <f>IFERROR(__xludf.DUMMYFUNCTION("IFERROR(INDEX(INDEX('Ultimate Breakdown'!BossLookup,0,1),MATCH(INDEX(QUERY(TRANSPOSE({Table2[[#HEADERS],[TEM]:[TOE]];L35:BN35}),""select Col1 where Col2 &gt; 0 order by Col2 desc limit 3"",0),3,1),INDEX('Ultimate Breakdown'!BossLookup,0,2),0)),"""")"),"Shellbane Gryphon")</f>
        <v>Shellbane Gryphon</v>
      </c>
      <c r="K35" s="335">
        <v>72.0</v>
      </c>
      <c r="L35" s="336"/>
      <c r="M35" s="337"/>
      <c r="N35" s="346">
        <v>15.0</v>
      </c>
      <c r="O35" s="346">
        <v>32.0</v>
      </c>
      <c r="P35" s="336"/>
      <c r="Q35" s="338"/>
      <c r="R35" s="338"/>
      <c r="S35" s="338"/>
      <c r="T35" s="338"/>
      <c r="U35" s="338"/>
      <c r="V35" s="349">
        <v>26.0</v>
      </c>
      <c r="W35" s="338"/>
      <c r="X35" s="338"/>
      <c r="Y35" s="338"/>
      <c r="Z35" s="346">
        <v>49.0</v>
      </c>
      <c r="AA35" s="338"/>
      <c r="AB35" s="338"/>
      <c r="AC35" s="338"/>
      <c r="AD35" s="346">
        <v>23.0</v>
      </c>
      <c r="AE35" s="338"/>
      <c r="AF35" s="339">
        <v>112.0</v>
      </c>
      <c r="AG35" s="340"/>
      <c r="AH35" s="340"/>
      <c r="AI35" s="349">
        <v>4.0</v>
      </c>
      <c r="AJ35" s="338"/>
      <c r="AK35" s="338"/>
      <c r="AL35" s="338"/>
      <c r="AM35" s="349">
        <v>26.0</v>
      </c>
      <c r="AN35" s="338"/>
      <c r="AO35" s="338"/>
      <c r="AP35" s="346">
        <v>54.0</v>
      </c>
      <c r="AQ35" s="338"/>
      <c r="AR35" s="340"/>
      <c r="AS35" s="336"/>
      <c r="AT35" s="338"/>
      <c r="AU35" s="338"/>
      <c r="AV35" s="338"/>
      <c r="AW35" s="346">
        <v>1.0</v>
      </c>
      <c r="AX35" s="346">
        <v>2.0</v>
      </c>
      <c r="AY35" s="346">
        <v>2.0</v>
      </c>
      <c r="AZ35" s="346">
        <v>89.0</v>
      </c>
      <c r="BA35" s="346">
        <v>153.0</v>
      </c>
      <c r="BB35" s="341"/>
      <c r="BC35" s="341"/>
      <c r="BD35" s="336"/>
      <c r="BE35" s="346">
        <v>4.0</v>
      </c>
      <c r="BF35" s="338"/>
      <c r="BG35" s="338"/>
      <c r="BH35" s="338"/>
      <c r="BI35" s="336"/>
      <c r="BJ35" s="340"/>
      <c r="BK35" s="338"/>
      <c r="BL35" s="342"/>
      <c r="BM35" s="348"/>
      <c r="BN35" s="348"/>
    </row>
    <row r="36">
      <c r="A36" s="328" t="s">
        <v>229</v>
      </c>
      <c r="B36" s="329" t="s">
        <v>985</v>
      </c>
      <c r="C36" s="150" t="s">
        <v>106</v>
      </c>
      <c r="D36" s="330"/>
      <c r="E36" s="331">
        <v>4.24</v>
      </c>
      <c r="F36" s="332">
        <f t="shared" si="6"/>
        <v>3</v>
      </c>
      <c r="G36" s="333">
        <f t="shared" si="7"/>
        <v>104</v>
      </c>
      <c r="H36" s="334" t="str">
        <f>IFERROR(__xludf.DUMMYFUNCTION("IFERROR(INDEX(INDEX('Ultimate Breakdown'!BossLookup,0,1),MATCH(INDEX(QUERY(TRANSPOSE({Table2[[#HEADERS],[TEM]:[TOE]];L36:BN36}),""select Col1 where Col2 &gt; 0 order by Col2 desc limit 3"",0),1,1),INDEX('Ultimate Breakdown'!BossLookup,0,2),0)),"""")"),"Hueycoatl")</f>
        <v>Hueycoatl</v>
      </c>
      <c r="I36" s="334" t="str">
        <f>IFERROR(__xludf.DUMMYFUNCTION("IFERROR(INDEX(INDEX('Ultimate Breakdown'!BossLookup,0,1),MATCH(INDEX(QUERY(TRANSPOSE({$L$3:$BN$3;L36:BN36}),""select Col1 where Col2 &gt; 0 order by Col2 desc limit 3"",0),2,1),INDEX('Ultimate Breakdown'!BossLookup,0,2),0)),"""")"),"Royal Titans")</f>
        <v>Royal Titans</v>
      </c>
      <c r="J36" s="334" t="str">
        <f>IFERROR(__xludf.DUMMYFUNCTION("IFERROR(INDEX(INDEX('Ultimate Breakdown'!BossLookup,0,1),MATCH(INDEX(QUERY(TRANSPOSE({Table2[[#HEADERS],[TEM]:[TOE]];L36:BN36}),""select Col1 where Col2 &gt; 0 order by Col2 desc limit 3"",0),3,1),INDEX('Ultimate Breakdown'!BossLookup,0,2),0)),"""")"),"Moons of Peril")</f>
        <v>Moons of Peril</v>
      </c>
      <c r="K36" s="335"/>
      <c r="L36" s="336"/>
      <c r="M36" s="337"/>
      <c r="N36" s="338"/>
      <c r="O36" s="338"/>
      <c r="P36" s="336"/>
      <c r="Q36" s="338"/>
      <c r="R36" s="338"/>
      <c r="S36" s="338"/>
      <c r="T36" s="338"/>
      <c r="U36" s="338"/>
      <c r="V36" s="336"/>
      <c r="W36" s="338"/>
      <c r="X36" s="338"/>
      <c r="Y36" s="338"/>
      <c r="Z36" s="346">
        <v>10.0</v>
      </c>
      <c r="AA36" s="338"/>
      <c r="AB36" s="338"/>
      <c r="AC36" s="338"/>
      <c r="AD36" s="338"/>
      <c r="AE36" s="338"/>
      <c r="AF36" s="339">
        <v>1.0</v>
      </c>
      <c r="AG36" s="340"/>
      <c r="AH36" s="340"/>
      <c r="AI36" s="336"/>
      <c r="AJ36" s="338"/>
      <c r="AK36" s="338"/>
      <c r="AL36" s="338"/>
      <c r="AM36" s="349">
        <v>62.0</v>
      </c>
      <c r="AN36" s="338"/>
      <c r="AO36" s="338"/>
      <c r="AP36" s="346">
        <v>31.0</v>
      </c>
      <c r="AQ36" s="338"/>
      <c r="AR36" s="340"/>
      <c r="AS36" s="336"/>
      <c r="AT36" s="338"/>
      <c r="AU36" s="338"/>
      <c r="AV36" s="338"/>
      <c r="AW36" s="338"/>
      <c r="AX36" s="338"/>
      <c r="AY36" s="338"/>
      <c r="AZ36" s="338"/>
      <c r="BA36" s="338"/>
      <c r="BB36" s="341"/>
      <c r="BC36" s="341"/>
      <c r="BD36" s="336"/>
      <c r="BE36" s="338"/>
      <c r="BF36" s="338"/>
      <c r="BG36" s="338"/>
      <c r="BH36" s="338"/>
      <c r="BI36" s="336"/>
      <c r="BJ36" s="340"/>
      <c r="BK36" s="338"/>
      <c r="BL36" s="342"/>
      <c r="BM36" s="348"/>
      <c r="BN36" s="348"/>
    </row>
    <row r="37">
      <c r="A37" s="352" t="s">
        <v>231</v>
      </c>
      <c r="B37" s="329" t="s">
        <v>985</v>
      </c>
      <c r="C37" s="150" t="s">
        <v>106</v>
      </c>
      <c r="D37" s="330"/>
      <c r="E37" s="331">
        <v>12.37</v>
      </c>
      <c r="F37" s="332">
        <f t="shared" si="6"/>
        <v>12</v>
      </c>
      <c r="G37" s="333">
        <f t="shared" si="7"/>
        <v>701</v>
      </c>
      <c r="H37" s="334" t="str">
        <f>IFERROR(__xludf.DUMMYFUNCTION("IFERROR(INDEX(INDEX('Ultimate Breakdown'!BossLookup,0,1),MATCH(INDEX(QUERY(TRANSPOSE({Table2[[#HEADERS],[TEM]:[TOE]];L37:BN37}),""select Col1 where Col2 &gt; 0 order by Col2 desc limit 3"",0),1,1),INDEX('Ultimate Breakdown'!BossLookup,0,2),0)),"""")"),"Abyssal Sire")</f>
        <v>Abyssal Sire</v>
      </c>
      <c r="I37" s="334" t="str">
        <f>IFERROR(__xludf.DUMMYFUNCTION("IFERROR(INDEX(INDEX('Ultimate Breakdown'!BossLookup,0,1),MATCH(INDEX(QUERY(TRANSPOSE({$L$3:$BN$3;L37:BN37}),""select Col1 where Col2 &gt; 0 order by Col2 desc limit 3"",0),2,1),INDEX('Ultimate Breakdown'!BossLookup,0,2),0)),"""")"),"Cerberus")</f>
        <v>Cerberus</v>
      </c>
      <c r="J37" s="334" t="str">
        <f>IFERROR(__xludf.DUMMYFUNCTION("IFERROR(INDEX(INDEX('Ultimate Breakdown'!BossLookup,0,1),MATCH(INDEX(QUERY(TRANSPOSE({Table2[[#HEADERS],[TEM]:[TOE]];L37:BN37}),""select Col1 where Col2 &gt; 0 order by Col2 desc limit 3"",0),3,1),INDEX('Ultimate Breakdown'!BossLookup,0,2),0)),"""")"),"Kraken")</f>
        <v>Kraken</v>
      </c>
      <c r="K37" s="335">
        <v>2.0</v>
      </c>
      <c r="L37" s="336"/>
      <c r="M37" s="337"/>
      <c r="N37" s="346">
        <v>23.0</v>
      </c>
      <c r="O37" s="346">
        <v>24.0</v>
      </c>
      <c r="P37" s="336"/>
      <c r="Q37" s="338"/>
      <c r="R37" s="338"/>
      <c r="S37" s="338"/>
      <c r="T37" s="338"/>
      <c r="U37" s="338"/>
      <c r="V37" s="349">
        <v>3.0</v>
      </c>
      <c r="W37" s="338"/>
      <c r="X37" s="338"/>
      <c r="Y37" s="338"/>
      <c r="Z37" s="338"/>
      <c r="AA37" s="338"/>
      <c r="AB37" s="338"/>
      <c r="AC37" s="346">
        <v>4.0</v>
      </c>
      <c r="AD37" s="338"/>
      <c r="AE37" s="346">
        <v>41.0</v>
      </c>
      <c r="AF37" s="340"/>
      <c r="AG37" s="340"/>
      <c r="AH37" s="340"/>
      <c r="AI37" s="336"/>
      <c r="AJ37" s="338"/>
      <c r="AK37" s="338"/>
      <c r="AL37" s="338"/>
      <c r="AM37" s="336"/>
      <c r="AN37" s="338"/>
      <c r="AO37" s="338"/>
      <c r="AP37" s="346">
        <v>15.0</v>
      </c>
      <c r="AQ37" s="338"/>
      <c r="AR37" s="340"/>
      <c r="AS37" s="349">
        <v>270.0</v>
      </c>
      <c r="AT37" s="346">
        <v>16.0</v>
      </c>
      <c r="AU37" s="338"/>
      <c r="AV37" s="346">
        <v>162.0</v>
      </c>
      <c r="AW37" s="346">
        <v>12.0</v>
      </c>
      <c r="AX37" s="346">
        <v>12.0</v>
      </c>
      <c r="AY37" s="346">
        <v>14.0</v>
      </c>
      <c r="AZ37" s="338"/>
      <c r="BA37" s="338"/>
      <c r="BB37" s="347">
        <v>98.0</v>
      </c>
      <c r="BC37" s="347">
        <v>1.0</v>
      </c>
      <c r="BD37" s="336"/>
      <c r="BE37" s="346">
        <v>6.0</v>
      </c>
      <c r="BF37" s="338"/>
      <c r="BG37" s="338"/>
      <c r="BH37" s="338"/>
      <c r="BI37" s="336"/>
      <c r="BJ37" s="340"/>
      <c r="BK37" s="338"/>
      <c r="BL37" s="342"/>
      <c r="BM37" s="353"/>
      <c r="BN37" s="354"/>
    </row>
    <row r="38" hidden="1"/>
    <row r="39" hidden="1">
      <c r="A39" s="355" t="s">
        <v>25</v>
      </c>
      <c r="B39" s="355" t="s">
        <v>963</v>
      </c>
      <c r="C39" s="356"/>
    </row>
    <row r="40" hidden="1">
      <c r="A40" s="355" t="s">
        <v>26</v>
      </c>
      <c r="B40" s="355" t="s">
        <v>964</v>
      </c>
      <c r="C40" s="356"/>
    </row>
    <row r="41" hidden="1">
      <c r="A41" s="355" t="s">
        <v>21</v>
      </c>
      <c r="B41" s="355" t="s">
        <v>965</v>
      </c>
      <c r="C41" s="357"/>
    </row>
    <row r="42" hidden="1">
      <c r="A42" s="355" t="s">
        <v>986</v>
      </c>
      <c r="B42" s="355" t="s">
        <v>934</v>
      </c>
      <c r="C42" s="357"/>
    </row>
    <row r="43" hidden="1">
      <c r="A43" s="355" t="s">
        <v>987</v>
      </c>
      <c r="B43" s="355" t="s">
        <v>940</v>
      </c>
      <c r="C43" s="358"/>
    </row>
    <row r="44" hidden="1">
      <c r="A44" s="355" t="s">
        <v>988</v>
      </c>
      <c r="B44" s="355" t="s">
        <v>935</v>
      </c>
      <c r="C44" s="358"/>
    </row>
    <row r="45" hidden="1">
      <c r="A45" s="355" t="s">
        <v>989</v>
      </c>
      <c r="B45" s="355" t="s">
        <v>936</v>
      </c>
      <c r="C45" s="358"/>
    </row>
    <row r="46" hidden="1">
      <c r="A46" s="355" t="s">
        <v>6</v>
      </c>
      <c r="B46" s="355" t="s">
        <v>966</v>
      </c>
      <c r="C46" s="358"/>
    </row>
    <row r="47" hidden="1">
      <c r="A47" s="355" t="s">
        <v>7</v>
      </c>
      <c r="B47" s="355" t="s">
        <v>979</v>
      </c>
      <c r="C47" s="358"/>
    </row>
    <row r="48" hidden="1">
      <c r="A48" s="355" t="s">
        <v>990</v>
      </c>
      <c r="B48" s="355" t="s">
        <v>980</v>
      </c>
      <c r="C48" s="358"/>
    </row>
    <row r="49" hidden="1">
      <c r="A49" s="355" t="s">
        <v>991</v>
      </c>
      <c r="B49" s="355" t="s">
        <v>974</v>
      </c>
      <c r="C49" s="358"/>
    </row>
    <row r="50" hidden="1">
      <c r="A50" s="355" t="s">
        <v>43</v>
      </c>
      <c r="B50" s="355" t="s">
        <v>962</v>
      </c>
      <c r="C50" s="358"/>
    </row>
    <row r="51" hidden="1">
      <c r="A51" s="355" t="s">
        <v>992</v>
      </c>
      <c r="B51" s="355" t="s">
        <v>967</v>
      </c>
      <c r="C51" s="358"/>
    </row>
    <row r="52" hidden="1">
      <c r="A52" s="355" t="s">
        <v>993</v>
      </c>
      <c r="B52" s="355" t="s">
        <v>968</v>
      </c>
      <c r="C52" s="358"/>
    </row>
    <row r="53" hidden="1">
      <c r="A53" s="355" t="s">
        <v>994</v>
      </c>
      <c r="B53" s="355" t="s">
        <v>969</v>
      </c>
      <c r="C53" s="358"/>
    </row>
    <row r="54" hidden="1">
      <c r="A54" s="355" t="s">
        <v>24</v>
      </c>
      <c r="B54" s="355" t="s">
        <v>941</v>
      </c>
      <c r="C54" s="358"/>
    </row>
    <row r="55" hidden="1">
      <c r="A55" s="355" t="s">
        <v>995</v>
      </c>
      <c r="B55" s="355" t="s">
        <v>953</v>
      </c>
      <c r="C55" s="358"/>
    </row>
    <row r="56" hidden="1">
      <c r="A56" s="355" t="s">
        <v>527</v>
      </c>
      <c r="B56" s="355" t="s">
        <v>952</v>
      </c>
      <c r="C56" s="358"/>
    </row>
    <row r="57" hidden="1">
      <c r="A57" s="355" t="s">
        <v>996</v>
      </c>
      <c r="B57" s="355" t="s">
        <v>942</v>
      </c>
      <c r="C57" s="358"/>
    </row>
    <row r="58" hidden="1">
      <c r="A58" s="355" t="s">
        <v>997</v>
      </c>
      <c r="B58" s="355" t="s">
        <v>943</v>
      </c>
      <c r="C58" s="358"/>
    </row>
    <row r="59" hidden="1">
      <c r="A59" s="355" t="s">
        <v>998</v>
      </c>
      <c r="B59" s="355" t="s">
        <v>975</v>
      </c>
      <c r="C59" s="358"/>
    </row>
    <row r="60" hidden="1">
      <c r="A60" s="355" t="s">
        <v>4</v>
      </c>
      <c r="B60" s="355" t="s">
        <v>971</v>
      </c>
      <c r="C60" s="358"/>
    </row>
    <row r="61" hidden="1">
      <c r="A61" s="355" t="s">
        <v>17</v>
      </c>
      <c r="B61" s="355" t="s">
        <v>932</v>
      </c>
      <c r="C61" s="358"/>
    </row>
    <row r="62" hidden="1">
      <c r="A62" s="355" t="s">
        <v>3</v>
      </c>
      <c r="B62" s="355" t="s">
        <v>957</v>
      </c>
      <c r="C62" s="358"/>
    </row>
    <row r="63" hidden="1">
      <c r="A63" s="355" t="s">
        <v>999</v>
      </c>
      <c r="B63" s="355" t="s">
        <v>972</v>
      </c>
      <c r="C63" s="358"/>
    </row>
    <row r="64" hidden="1">
      <c r="A64" s="355" t="s">
        <v>1000</v>
      </c>
      <c r="B64" s="355" t="s">
        <v>977</v>
      </c>
      <c r="C64" s="358"/>
    </row>
    <row r="65" hidden="1">
      <c r="A65" s="355" t="s">
        <v>1001</v>
      </c>
      <c r="B65" s="355" t="s">
        <v>976</v>
      </c>
      <c r="C65" s="358"/>
    </row>
    <row r="66" hidden="1">
      <c r="A66" s="355" t="s">
        <v>1002</v>
      </c>
      <c r="B66" s="355" t="s">
        <v>954</v>
      </c>
      <c r="C66" s="358"/>
    </row>
    <row r="67" hidden="1">
      <c r="A67" s="355" t="s">
        <v>2</v>
      </c>
      <c r="B67" s="355" t="s">
        <v>950</v>
      </c>
      <c r="C67" s="358"/>
    </row>
    <row r="68" hidden="1">
      <c r="A68" s="355" t="s">
        <v>31</v>
      </c>
      <c r="B68" s="355" t="s">
        <v>951</v>
      </c>
      <c r="C68" s="358"/>
    </row>
    <row r="69" hidden="1">
      <c r="A69" s="355" t="s">
        <v>37</v>
      </c>
      <c r="B69" s="355" t="s">
        <v>944</v>
      </c>
      <c r="C69" s="358"/>
    </row>
    <row r="70" hidden="1">
      <c r="A70" s="355" t="s">
        <v>1003</v>
      </c>
      <c r="B70" s="355" t="s">
        <v>945</v>
      </c>
      <c r="C70" s="358"/>
    </row>
    <row r="71" hidden="1">
      <c r="A71" s="355" t="s">
        <v>38</v>
      </c>
      <c r="B71" s="355" t="s">
        <v>978</v>
      </c>
      <c r="C71" s="358"/>
    </row>
    <row r="72" hidden="1">
      <c r="A72" s="355" t="s">
        <v>39</v>
      </c>
      <c r="B72" s="355" t="s">
        <v>958</v>
      </c>
      <c r="C72" s="358"/>
    </row>
    <row r="73" hidden="1">
      <c r="A73" s="355" t="s">
        <v>1004</v>
      </c>
      <c r="B73" s="355" t="s">
        <v>959</v>
      </c>
      <c r="C73" s="358"/>
    </row>
    <row r="74" hidden="1">
      <c r="A74" s="355" t="s">
        <v>19</v>
      </c>
      <c r="B74" s="355" t="s">
        <v>960</v>
      </c>
      <c r="C74" s="358"/>
    </row>
    <row r="75" hidden="1">
      <c r="A75" s="355" t="s">
        <v>28</v>
      </c>
      <c r="B75" s="355" t="s">
        <v>946</v>
      </c>
      <c r="C75" s="358"/>
    </row>
    <row r="76" hidden="1">
      <c r="A76" s="355" t="s">
        <v>1005</v>
      </c>
      <c r="B76" s="355" t="s">
        <v>970</v>
      </c>
      <c r="C76" s="358"/>
    </row>
    <row r="77" hidden="1">
      <c r="A77" s="355" t="s">
        <v>1006</v>
      </c>
      <c r="B77" s="355" t="s">
        <v>947</v>
      </c>
      <c r="C77" s="358"/>
    </row>
    <row r="78" hidden="1">
      <c r="A78" s="355" t="s">
        <v>1007</v>
      </c>
      <c r="B78" s="355" t="s">
        <v>938</v>
      </c>
      <c r="C78" s="358"/>
    </row>
    <row r="79" hidden="1">
      <c r="A79" s="355" t="s">
        <v>10</v>
      </c>
      <c r="B79" s="355" t="s">
        <v>931</v>
      </c>
      <c r="C79" s="358"/>
    </row>
    <row r="80" hidden="1">
      <c r="A80" s="355" t="s">
        <v>11</v>
      </c>
      <c r="B80" s="355" t="s">
        <v>981</v>
      </c>
      <c r="C80" s="358"/>
    </row>
    <row r="81" hidden="1">
      <c r="A81" s="355" t="s">
        <v>1008</v>
      </c>
      <c r="B81" s="355" t="s">
        <v>982</v>
      </c>
      <c r="C81" s="358"/>
    </row>
    <row r="82" hidden="1">
      <c r="A82" s="355" t="s">
        <v>1009</v>
      </c>
      <c r="B82" s="355" t="s">
        <v>973</v>
      </c>
      <c r="C82" s="358"/>
    </row>
    <row r="83" hidden="1">
      <c r="A83" s="355" t="s">
        <v>16</v>
      </c>
      <c r="B83" s="355" t="s">
        <v>983</v>
      </c>
      <c r="C83" s="358"/>
    </row>
    <row r="84" hidden="1">
      <c r="A84" s="355" t="s">
        <v>1010</v>
      </c>
      <c r="B84" s="355" t="s">
        <v>984</v>
      </c>
      <c r="C84" s="358"/>
    </row>
    <row r="85" hidden="1">
      <c r="A85" s="355" t="s">
        <v>1011</v>
      </c>
      <c r="B85" s="355" t="s">
        <v>955</v>
      </c>
      <c r="C85" s="358"/>
    </row>
    <row r="86" hidden="1">
      <c r="A86" s="355" t="s">
        <v>1012</v>
      </c>
      <c r="B86" s="355" t="s">
        <v>939</v>
      </c>
      <c r="C86" s="358"/>
    </row>
    <row r="87" hidden="1">
      <c r="A87" s="355" t="s">
        <v>1013</v>
      </c>
      <c r="B87" s="355" t="s">
        <v>937</v>
      </c>
      <c r="C87" s="358"/>
    </row>
    <row r="88" hidden="1">
      <c r="A88" s="355" t="s">
        <v>15</v>
      </c>
      <c r="B88" s="355" t="s">
        <v>948</v>
      </c>
      <c r="C88" s="358"/>
    </row>
    <row r="89" hidden="1">
      <c r="A89" s="355" t="s">
        <v>1014</v>
      </c>
      <c r="B89" s="355" t="s">
        <v>956</v>
      </c>
      <c r="C89" s="358"/>
    </row>
    <row r="90" hidden="1">
      <c r="A90" s="355" t="s">
        <v>20</v>
      </c>
      <c r="B90" s="355" t="s">
        <v>47</v>
      </c>
      <c r="C90" s="358"/>
    </row>
    <row r="91" hidden="1">
      <c r="A91" s="355" t="s">
        <v>9</v>
      </c>
      <c r="B91" s="355" t="s">
        <v>961</v>
      </c>
      <c r="C91" s="358"/>
    </row>
    <row r="92" hidden="1">
      <c r="A92" s="355" t="s">
        <v>27</v>
      </c>
      <c r="B92" s="355" t="s">
        <v>933</v>
      </c>
      <c r="C92" s="358"/>
    </row>
    <row r="93" hidden="1">
      <c r="A93" s="355" t="s">
        <v>22</v>
      </c>
      <c r="B93" s="355" t="s">
        <v>949</v>
      </c>
    </row>
    <row r="94">
      <c r="A94" s="355"/>
      <c r="B94" s="355"/>
      <c r="E94" s="359">
        <f>SUM(Table2[EHB Gain])</f>
        <v>414.03</v>
      </c>
      <c r="J94" s="360" t="s">
        <v>1015</v>
      </c>
      <c r="K94" s="361">
        <f t="shared" ref="K94:BN94" si="8">SUM(K4:K37)</f>
        <v>198</v>
      </c>
      <c r="L94" s="362">
        <f t="shared" si="8"/>
        <v>449</v>
      </c>
      <c r="M94" s="363">
        <f t="shared" si="8"/>
        <v>268</v>
      </c>
      <c r="N94" s="363">
        <f t="shared" si="8"/>
        <v>265</v>
      </c>
      <c r="O94" s="364">
        <f t="shared" si="8"/>
        <v>155</v>
      </c>
      <c r="P94" s="362">
        <f t="shared" si="8"/>
        <v>62</v>
      </c>
      <c r="Q94" s="363">
        <f t="shared" si="8"/>
        <v>8</v>
      </c>
      <c r="R94" s="363">
        <f t="shared" si="8"/>
        <v>112</v>
      </c>
      <c r="S94" s="363">
        <f t="shared" si="8"/>
        <v>122</v>
      </c>
      <c r="T94" s="363">
        <f t="shared" si="8"/>
        <v>27</v>
      </c>
      <c r="U94" s="364">
        <f t="shared" si="8"/>
        <v>310</v>
      </c>
      <c r="V94" s="362">
        <f t="shared" si="8"/>
        <v>144</v>
      </c>
      <c r="W94" s="363">
        <f t="shared" si="8"/>
        <v>227</v>
      </c>
      <c r="X94" s="363">
        <f t="shared" si="8"/>
        <v>52</v>
      </c>
      <c r="Y94" s="363">
        <f t="shared" si="8"/>
        <v>99</v>
      </c>
      <c r="Z94" s="363">
        <f t="shared" si="8"/>
        <v>184</v>
      </c>
      <c r="AA94" s="363">
        <f t="shared" si="8"/>
        <v>341</v>
      </c>
      <c r="AB94" s="363">
        <f t="shared" si="8"/>
        <v>585</v>
      </c>
      <c r="AC94" s="363">
        <f t="shared" si="8"/>
        <v>33</v>
      </c>
      <c r="AD94" s="363">
        <f t="shared" si="8"/>
        <v>342</v>
      </c>
      <c r="AE94" s="363">
        <f t="shared" si="8"/>
        <v>747</v>
      </c>
      <c r="AF94" s="363">
        <f t="shared" si="8"/>
        <v>905</v>
      </c>
      <c r="AG94" s="363">
        <f t="shared" si="8"/>
        <v>428</v>
      </c>
      <c r="AH94" s="364">
        <f t="shared" si="8"/>
        <v>2</v>
      </c>
      <c r="AI94" s="362">
        <f t="shared" si="8"/>
        <v>256</v>
      </c>
      <c r="AJ94" s="363">
        <f t="shared" si="8"/>
        <v>0</v>
      </c>
      <c r="AK94" s="363">
        <f t="shared" si="8"/>
        <v>651</v>
      </c>
      <c r="AL94" s="364">
        <f t="shared" si="8"/>
        <v>0</v>
      </c>
      <c r="AM94" s="362">
        <f t="shared" si="8"/>
        <v>600</v>
      </c>
      <c r="AN94" s="363">
        <f t="shared" si="8"/>
        <v>19</v>
      </c>
      <c r="AO94" s="363">
        <f t="shared" si="8"/>
        <v>16</v>
      </c>
      <c r="AP94" s="363">
        <f t="shared" si="8"/>
        <v>587</v>
      </c>
      <c r="AQ94" s="363">
        <f t="shared" si="8"/>
        <v>594</v>
      </c>
      <c r="AR94" s="364">
        <f t="shared" si="8"/>
        <v>0</v>
      </c>
      <c r="AS94" s="362">
        <f t="shared" si="8"/>
        <v>726</v>
      </c>
      <c r="AT94" s="363">
        <f t="shared" si="8"/>
        <v>248</v>
      </c>
      <c r="AU94" s="363">
        <f t="shared" si="8"/>
        <v>1211</v>
      </c>
      <c r="AV94" s="363">
        <f t="shared" si="8"/>
        <v>770</v>
      </c>
      <c r="AW94" s="363">
        <f t="shared" si="8"/>
        <v>200</v>
      </c>
      <c r="AX94" s="363">
        <f t="shared" si="8"/>
        <v>204</v>
      </c>
      <c r="AY94" s="363">
        <f t="shared" si="8"/>
        <v>206</v>
      </c>
      <c r="AZ94" s="363">
        <f t="shared" si="8"/>
        <v>432</v>
      </c>
      <c r="BA94" s="363">
        <f t="shared" si="8"/>
        <v>491</v>
      </c>
      <c r="BB94" s="365">
        <f t="shared" si="8"/>
        <v>110</v>
      </c>
      <c r="BC94" s="366">
        <f t="shared" si="8"/>
        <v>545</v>
      </c>
      <c r="BD94" s="362">
        <f t="shared" si="8"/>
        <v>235</v>
      </c>
      <c r="BE94" s="363">
        <f t="shared" si="8"/>
        <v>155</v>
      </c>
      <c r="BF94" s="363">
        <f t="shared" si="8"/>
        <v>47</v>
      </c>
      <c r="BG94" s="363">
        <f t="shared" si="8"/>
        <v>0</v>
      </c>
      <c r="BH94" s="364">
        <f t="shared" si="8"/>
        <v>0</v>
      </c>
      <c r="BI94" s="362">
        <f t="shared" si="8"/>
        <v>73</v>
      </c>
      <c r="BJ94" s="363">
        <f t="shared" si="8"/>
        <v>4</v>
      </c>
      <c r="BK94" s="363">
        <f t="shared" si="8"/>
        <v>9</v>
      </c>
      <c r="BL94" s="363">
        <f t="shared" si="8"/>
        <v>0</v>
      </c>
      <c r="BM94" s="363">
        <f t="shared" si="8"/>
        <v>93</v>
      </c>
      <c r="BN94" s="364">
        <f t="shared" si="8"/>
        <v>47</v>
      </c>
    </row>
  </sheetData>
  <mergeCells count="11">
    <mergeCell ref="AM1:AR1"/>
    <mergeCell ref="AS1:BC1"/>
    <mergeCell ref="BD1:BH1"/>
    <mergeCell ref="BI1:BM1"/>
    <mergeCell ref="A1:A2"/>
    <mergeCell ref="C1:E2"/>
    <mergeCell ref="F1:J2"/>
    <mergeCell ref="L1:O1"/>
    <mergeCell ref="P1:U1"/>
    <mergeCell ref="V1:AH1"/>
    <mergeCell ref="AI1:AL1"/>
  </mergeCells>
  <conditionalFormatting sqref="K94:BN94">
    <cfRule type="cellIs" dxfId="11" priority="1" operator="equal">
      <formula>0</formula>
    </cfRule>
  </conditionalFormatting>
  <dataValidations>
    <dataValidation type="list" allowBlank="1" sqref="C4:C37">
      <formula1>"✅,❌"</formula1>
    </dataValidation>
    <dataValidation type="list" allowBlank="1" sqref="D4:D37">
      <formula1>"🪖"</formula1>
    </dataValidation>
    <dataValidation type="custom" allowBlank="1" showDropDown="1" sqref="E4:E37 K4:K37">
      <formula1>AND(ISNUMBER(E4),(NOT(OR(NOT(ISERROR(DATEVALUE(E4))), AND(ISNUMBER(E4), LEFT(CELL("format", E4))="D")))))</formula1>
    </dataValidation>
    <dataValidation type="list" allowBlank="1" sqref="B4:B37">
      <formula1>"Dragannoth Queens,Thunder Crabs"</formula1>
    </dataValidation>
  </dataValidations>
  <drawing r:id="rId1"/>
  <tableParts count="1">
    <tablePart r:id="rId3"/>
  </tableParts>
</worksheet>
</file>